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tarun\Downloads\"/>
    </mc:Choice>
  </mc:AlternateContent>
  <xr:revisionPtr revIDLastSave="0" documentId="13_ncr:1_{5839524C-72BC-464C-BBC8-822E640C732A}" xr6:coauthVersionLast="47" xr6:coauthVersionMax="47" xr10:uidLastSave="{00000000-0000-0000-0000-000000000000}"/>
  <bookViews>
    <workbookView xWindow="-108" yWindow="-108" windowWidth="23256" windowHeight="12456" activeTab="2" xr2:uid="{0836F0A6-321D-4DF6-8ACC-12FEC3FF750B}"/>
  </bookViews>
  <sheets>
    <sheet name="supply_chain_data" sheetId="1" r:id="rId1"/>
    <sheet name="Pivot" sheetId="2" r:id="rId2"/>
    <sheet name="Sheet2" sheetId="3" r:id="rId3"/>
  </sheets>
  <definedNames>
    <definedName name="_xlnm._FilterDatabase" localSheetId="2" hidden="1">Sheet2!$A$1:$R$3</definedName>
    <definedName name="Slicer_Customer_demographics">#N/A</definedName>
    <definedName name="Slicer_Delivery_Status">#N/A</definedName>
    <definedName name="Slicer_Inventory_Status">#N/A</definedName>
    <definedName name="Slicer_Product_type">#N/A</definedName>
    <definedName name="Slicer_Transportation_modes">#N/A</definedName>
  </definedNames>
  <calcPr calcId="191029"/>
  <pivotCaches>
    <pivotCache cacheId="0" r:id="rId4"/>
  </pivotCaches>
  <extLst>
    <ext xmlns:x14="http://schemas.microsoft.com/office/spreadsheetml/2009/9/main" uri="{BBE1A952-AA13-448e-AADC-164F8A28A991}">
      <x14:slicerCaches>
        <x14:slicerCache r:id="rId5"/>
        <x14:slicerCache r:id="rId6"/>
        <x14:slicerCache r:id="rId7"/>
        <x14:slicerCache r:id="rId8"/>
        <x14:slicerCache r:id="rId9"/>
      </x14:slicerCaches>
    </ext>
    <ext xmlns:x14="http://schemas.microsoft.com/office/spreadsheetml/2009/9/main" uri="{79F54976-1DA5-4618-B147-4CDE4B953A38}">
      <x14:workbookPr/>
    </ext>
  </extLst>
</workbook>
</file>

<file path=xl/calcChain.xml><?xml version="1.0" encoding="utf-8"?>
<calcChain xmlns="http://schemas.openxmlformats.org/spreadsheetml/2006/main">
  <c r="AA2" i="1" l="1"/>
  <c r="AA3" i="1"/>
  <c r="AA4" i="1"/>
  <c r="AA5" i="1"/>
  <c r="AA6" i="1"/>
  <c r="AA7" i="1"/>
  <c r="AA8" i="1"/>
  <c r="AA9" i="1"/>
  <c r="AA10" i="1"/>
  <c r="AA11" i="1"/>
  <c r="AA12" i="1"/>
  <c r="AA13" i="1"/>
  <c r="AA14" i="1"/>
  <c r="AA15" i="1"/>
  <c r="AA16" i="1"/>
  <c r="AA17" i="1"/>
  <c r="AA18" i="1"/>
  <c r="AA19" i="1"/>
  <c r="AA20" i="1"/>
  <c r="AA21" i="1"/>
  <c r="AA22" i="1"/>
  <c r="AA23" i="1"/>
  <c r="AA24" i="1"/>
  <c r="AA25" i="1"/>
  <c r="AA26" i="1"/>
  <c r="AA27" i="1"/>
  <c r="AA28" i="1"/>
  <c r="AA29" i="1"/>
  <c r="AA30" i="1"/>
  <c r="AA31" i="1"/>
  <c r="AA32" i="1"/>
  <c r="AA33" i="1"/>
  <c r="AA34" i="1"/>
  <c r="AA35" i="1"/>
  <c r="AA36" i="1"/>
  <c r="AA37" i="1"/>
  <c r="AA38" i="1"/>
  <c r="AA39" i="1"/>
  <c r="AA40" i="1"/>
  <c r="AA41" i="1"/>
  <c r="AA42" i="1"/>
  <c r="AA43" i="1"/>
  <c r="AA44" i="1"/>
  <c r="AA45" i="1"/>
  <c r="AA46" i="1"/>
  <c r="AA47" i="1"/>
  <c r="AA48" i="1"/>
  <c r="AA49" i="1"/>
  <c r="AA50" i="1"/>
  <c r="AA51" i="1"/>
  <c r="AA52" i="1"/>
  <c r="AA53" i="1"/>
  <c r="AA54" i="1"/>
  <c r="AA55" i="1"/>
  <c r="AA56" i="1"/>
  <c r="AA57" i="1"/>
  <c r="AA58" i="1"/>
  <c r="AA59" i="1"/>
  <c r="AA60" i="1"/>
  <c r="AA61" i="1"/>
  <c r="AA62" i="1"/>
  <c r="AA63" i="1"/>
  <c r="AA64" i="1"/>
  <c r="AA65" i="1"/>
  <c r="AA66" i="1"/>
  <c r="AA67" i="1"/>
  <c r="AA68" i="1"/>
  <c r="AA69" i="1"/>
  <c r="AA70" i="1"/>
  <c r="AA71" i="1"/>
  <c r="AA72" i="1"/>
  <c r="AA73" i="1"/>
  <c r="AA74" i="1"/>
  <c r="AA75" i="1"/>
  <c r="AA76" i="1"/>
  <c r="AA77" i="1"/>
  <c r="AA78" i="1"/>
  <c r="AA79" i="1"/>
  <c r="AA80" i="1"/>
  <c r="AA81" i="1"/>
  <c r="AA82" i="1"/>
  <c r="AA83" i="1"/>
  <c r="AA84" i="1"/>
  <c r="AA85" i="1"/>
  <c r="AA86" i="1"/>
  <c r="AA87" i="1"/>
  <c r="AA88" i="1"/>
  <c r="AA89" i="1"/>
  <c r="AA90" i="1"/>
  <c r="AA91" i="1"/>
  <c r="AA92" i="1"/>
  <c r="AA93" i="1"/>
  <c r="AA94" i="1"/>
  <c r="AA95" i="1"/>
  <c r="AA96" i="1"/>
  <c r="AA97" i="1"/>
  <c r="AA98" i="1"/>
  <c r="AA99" i="1"/>
  <c r="AA100" i="1"/>
  <c r="AA101" i="1"/>
  <c r="Z2" i="1"/>
  <c r="Z3" i="1"/>
  <c r="Z4" i="1"/>
  <c r="Z5" i="1"/>
  <c r="Z6" i="1"/>
  <c r="Z7" i="1"/>
  <c r="Z8" i="1"/>
  <c r="Z9" i="1"/>
  <c r="Z10" i="1"/>
  <c r="Z11" i="1"/>
  <c r="Z12" i="1"/>
  <c r="Z13" i="1"/>
  <c r="Z14" i="1"/>
  <c r="Z15" i="1"/>
  <c r="Z16" i="1"/>
  <c r="Z17" i="1"/>
  <c r="Z18" i="1"/>
  <c r="Z19" i="1"/>
  <c r="Z20" i="1"/>
  <c r="Z21" i="1"/>
  <c r="Z22" i="1"/>
  <c r="Z23" i="1"/>
  <c r="Z24" i="1"/>
  <c r="Z25" i="1"/>
  <c r="Z26" i="1"/>
  <c r="Z27" i="1"/>
  <c r="Z28" i="1"/>
  <c r="Z29" i="1"/>
  <c r="Z30" i="1"/>
  <c r="Z31" i="1"/>
  <c r="Z32" i="1"/>
  <c r="Z33" i="1"/>
  <c r="Z34" i="1"/>
  <c r="Z35" i="1"/>
  <c r="Z36" i="1"/>
  <c r="Z37" i="1"/>
  <c r="Z38" i="1"/>
  <c r="Z39" i="1"/>
  <c r="Z40" i="1"/>
  <c r="Z41" i="1"/>
  <c r="Z42" i="1"/>
  <c r="Z43" i="1"/>
  <c r="Z44" i="1"/>
  <c r="Z45" i="1"/>
  <c r="Z46" i="1"/>
  <c r="Z47" i="1"/>
  <c r="Z48" i="1"/>
  <c r="Z49" i="1"/>
  <c r="Z50" i="1"/>
  <c r="Z51" i="1"/>
  <c r="Z52" i="1"/>
  <c r="Z53" i="1"/>
  <c r="Z54" i="1"/>
  <c r="Z55" i="1"/>
  <c r="Z56" i="1"/>
  <c r="Z57" i="1"/>
  <c r="Z58" i="1"/>
  <c r="Z59" i="1"/>
  <c r="Z60" i="1"/>
  <c r="Z61" i="1"/>
  <c r="Z62" i="1"/>
  <c r="Z63" i="1"/>
  <c r="Z64" i="1"/>
  <c r="Z65" i="1"/>
  <c r="Z66" i="1"/>
  <c r="Z67" i="1"/>
  <c r="Z68" i="1"/>
  <c r="Z69" i="1"/>
  <c r="Z70" i="1"/>
  <c r="Z71" i="1"/>
  <c r="Z72" i="1"/>
  <c r="Z73" i="1"/>
  <c r="Z74" i="1"/>
  <c r="Z75" i="1"/>
  <c r="Z76" i="1"/>
  <c r="Z77" i="1"/>
  <c r="Z78" i="1"/>
  <c r="Z79" i="1"/>
  <c r="Z80" i="1"/>
  <c r="Z81" i="1"/>
  <c r="Z82" i="1"/>
  <c r="Z83" i="1"/>
  <c r="Z84" i="1"/>
  <c r="Z85" i="1"/>
  <c r="Z86" i="1"/>
  <c r="Z87" i="1"/>
  <c r="Z88" i="1"/>
  <c r="Z89" i="1"/>
  <c r="Z90" i="1"/>
  <c r="Z91" i="1"/>
  <c r="Z92" i="1"/>
  <c r="Z93" i="1"/>
  <c r="Z94" i="1"/>
  <c r="Z95" i="1"/>
  <c r="Z96" i="1"/>
  <c r="Z97" i="1"/>
  <c r="Z98" i="1"/>
  <c r="Z99" i="1"/>
  <c r="Z100" i="1"/>
  <c r="Z101" i="1"/>
  <c r="Y2" i="1"/>
  <c r="Y3" i="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alcChain>
</file>

<file path=xl/sharedStrings.xml><?xml version="1.0" encoding="utf-8"?>
<sst xmlns="http://schemas.openxmlformats.org/spreadsheetml/2006/main" count="980" uniqueCount="167">
  <si>
    <t>Product type</t>
  </si>
  <si>
    <t>SKU</t>
  </si>
  <si>
    <t>Price</t>
  </si>
  <si>
    <t>Availability</t>
  </si>
  <si>
    <t>Number of products sold</t>
  </si>
  <si>
    <t>Revenue generated</t>
  </si>
  <si>
    <t>Customer demographics</t>
  </si>
  <si>
    <t>Stock levels</t>
  </si>
  <si>
    <t>Lead times</t>
  </si>
  <si>
    <t>Order quantities</t>
  </si>
  <si>
    <t>Shipping times</t>
  </si>
  <si>
    <t>Shipping carriers</t>
  </si>
  <si>
    <t>Shipping costs</t>
  </si>
  <si>
    <t>Supplier name</t>
  </si>
  <si>
    <t>Location</t>
  </si>
  <si>
    <t>Lead time</t>
  </si>
  <si>
    <t>Production volumes</t>
  </si>
  <si>
    <t>Manufacturing lead time</t>
  </si>
  <si>
    <t>Manufacturing costs</t>
  </si>
  <si>
    <t>Inspection results</t>
  </si>
  <si>
    <t>Defect rates</t>
  </si>
  <si>
    <t>Transportation modes</t>
  </si>
  <si>
    <t>Routes</t>
  </si>
  <si>
    <t>Costs</t>
  </si>
  <si>
    <t>haircare</t>
  </si>
  <si>
    <t>SKU0</t>
  </si>
  <si>
    <t>Non-binary</t>
  </si>
  <si>
    <t>Carrier B</t>
  </si>
  <si>
    <t>Supplier 3</t>
  </si>
  <si>
    <t>Mumbai</t>
  </si>
  <si>
    <t>Pending</t>
  </si>
  <si>
    <t>Road</t>
  </si>
  <si>
    <t>Route B</t>
  </si>
  <si>
    <t>skincare</t>
  </si>
  <si>
    <t>SKU1</t>
  </si>
  <si>
    <t>Female</t>
  </si>
  <si>
    <t>Carrier A</t>
  </si>
  <si>
    <t>SKU2</t>
  </si>
  <si>
    <t>Unknown</t>
  </si>
  <si>
    <t>Supplier 1</t>
  </si>
  <si>
    <t>Air</t>
  </si>
  <si>
    <t>Route C</t>
  </si>
  <si>
    <t>SKU3</t>
  </si>
  <si>
    <t>Carrier C</t>
  </si>
  <si>
    <t>Supplier 5</t>
  </si>
  <si>
    <t>Kolkata</t>
  </si>
  <si>
    <t>Fail</t>
  </si>
  <si>
    <t>Rail</t>
  </si>
  <si>
    <t>Route A</t>
  </si>
  <si>
    <t>SKU4</t>
  </si>
  <si>
    <t>Delhi</t>
  </si>
  <si>
    <t>SKU5</t>
  </si>
  <si>
    <t>Supplier 4</t>
  </si>
  <si>
    <t>Bangalore</t>
  </si>
  <si>
    <t>SKU6</t>
  </si>
  <si>
    <t>Male</t>
  </si>
  <si>
    <t>Sea</t>
  </si>
  <si>
    <t>cosmetics</t>
  </si>
  <si>
    <t>SKU7</t>
  </si>
  <si>
    <t>SKU8</t>
  </si>
  <si>
    <t>SKU9</t>
  </si>
  <si>
    <t>Supplier 2</t>
  </si>
  <si>
    <t>Chennai</t>
  </si>
  <si>
    <t>SKU10</t>
  </si>
  <si>
    <t>Pass</t>
  </si>
  <si>
    <t>SKU11</t>
  </si>
  <si>
    <t>SKU12</t>
  </si>
  <si>
    <t>SKU13</t>
  </si>
  <si>
    <t>SKU14</t>
  </si>
  <si>
    <t>SKU15</t>
  </si>
  <si>
    <t>SKU16</t>
  </si>
  <si>
    <t>SKU17</t>
  </si>
  <si>
    <t>SKU18</t>
  </si>
  <si>
    <t>SKU19</t>
  </si>
  <si>
    <t>SKU20</t>
  </si>
  <si>
    <t>SKU21</t>
  </si>
  <si>
    <t>SKU22</t>
  </si>
  <si>
    <t>SKU23</t>
  </si>
  <si>
    <t>SKU24</t>
  </si>
  <si>
    <t>SKU25</t>
  </si>
  <si>
    <t>SKU26</t>
  </si>
  <si>
    <t>SKU27</t>
  </si>
  <si>
    <t>SKU28</t>
  </si>
  <si>
    <t>SKU29</t>
  </si>
  <si>
    <t>SKU30</t>
  </si>
  <si>
    <t>SKU31</t>
  </si>
  <si>
    <t>SKU32</t>
  </si>
  <si>
    <t>SKU33</t>
  </si>
  <si>
    <t>SKU34</t>
  </si>
  <si>
    <t>SKU35</t>
  </si>
  <si>
    <t>SKU36</t>
  </si>
  <si>
    <t>SKU37</t>
  </si>
  <si>
    <t>SKU38</t>
  </si>
  <si>
    <t>SKU39</t>
  </si>
  <si>
    <t>SKU40</t>
  </si>
  <si>
    <t>SKU41</t>
  </si>
  <si>
    <t>SKU42</t>
  </si>
  <si>
    <t>SKU43</t>
  </si>
  <si>
    <t>SKU44</t>
  </si>
  <si>
    <t>SKU45</t>
  </si>
  <si>
    <t>SKU46</t>
  </si>
  <si>
    <t>SKU47</t>
  </si>
  <si>
    <t>SKU48</t>
  </si>
  <si>
    <t>SKU49</t>
  </si>
  <si>
    <t>SKU50</t>
  </si>
  <si>
    <t>SKU51</t>
  </si>
  <si>
    <t>SKU52</t>
  </si>
  <si>
    <t>SKU53</t>
  </si>
  <si>
    <t>SKU54</t>
  </si>
  <si>
    <t>SKU55</t>
  </si>
  <si>
    <t>SKU56</t>
  </si>
  <si>
    <t>SKU57</t>
  </si>
  <si>
    <t>SKU58</t>
  </si>
  <si>
    <t>SKU59</t>
  </si>
  <si>
    <t>SKU60</t>
  </si>
  <si>
    <t>SKU61</t>
  </si>
  <si>
    <t>SKU62</t>
  </si>
  <si>
    <t>SKU63</t>
  </si>
  <si>
    <t>SKU64</t>
  </si>
  <si>
    <t>SKU65</t>
  </si>
  <si>
    <t>SKU66</t>
  </si>
  <si>
    <t>SKU67</t>
  </si>
  <si>
    <t>SKU68</t>
  </si>
  <si>
    <t>SKU69</t>
  </si>
  <si>
    <t>SKU70</t>
  </si>
  <si>
    <t>SKU71</t>
  </si>
  <si>
    <t>SKU72</t>
  </si>
  <si>
    <t>SKU73</t>
  </si>
  <si>
    <t>SKU74</t>
  </si>
  <si>
    <t>SKU75</t>
  </si>
  <si>
    <t>SKU76</t>
  </si>
  <si>
    <t>SKU77</t>
  </si>
  <si>
    <t>SKU78</t>
  </si>
  <si>
    <t>SKU79</t>
  </si>
  <si>
    <t>SKU80</t>
  </si>
  <si>
    <t>SKU81</t>
  </si>
  <si>
    <t>SKU82</t>
  </si>
  <si>
    <t>SKU83</t>
  </si>
  <si>
    <t>SKU84</t>
  </si>
  <si>
    <t>SKU85</t>
  </si>
  <si>
    <t>SKU86</t>
  </si>
  <si>
    <t>SKU87</t>
  </si>
  <si>
    <t>SKU88</t>
  </si>
  <si>
    <t>SKU89</t>
  </si>
  <si>
    <t>SKU90</t>
  </si>
  <si>
    <t>SKU91</t>
  </si>
  <si>
    <t>SKU92</t>
  </si>
  <si>
    <t>SKU93</t>
  </si>
  <si>
    <t>SKU94</t>
  </si>
  <si>
    <t>SKU95</t>
  </si>
  <si>
    <t>SKU96</t>
  </si>
  <si>
    <t>SKU97</t>
  </si>
  <si>
    <t>SKU98</t>
  </si>
  <si>
    <t>SKU99</t>
  </si>
  <si>
    <t>Profit</t>
  </si>
  <si>
    <t>Inventory Status</t>
  </si>
  <si>
    <t>Delivery Status</t>
  </si>
  <si>
    <t>Row Labels</t>
  </si>
  <si>
    <t>Grand Total</t>
  </si>
  <si>
    <t>Sum of Profit</t>
  </si>
  <si>
    <t>Sum of Stock levels</t>
  </si>
  <si>
    <t>Column Labels</t>
  </si>
  <si>
    <t>Sum of Number of products sold</t>
  </si>
  <si>
    <t>Available</t>
  </si>
  <si>
    <t>Low Stock</t>
  </si>
  <si>
    <t>Sum of Order quantities</t>
  </si>
  <si>
    <t>SUPPLY CHAIN ANALYSIS DASHBOARD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</si>
</sst>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36"/>
      <color theme="1"/>
      <name val="Times New Roman"/>
      <family val="1"/>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8"/>
        <bgColor theme="8"/>
      </patternFill>
    </fill>
    <fill>
      <patternFill patternType="solid">
        <fgColor theme="8" tint="0.59999389629810485"/>
        <bgColor theme="8" tint="0.59999389629810485"/>
      </patternFill>
    </fill>
    <fill>
      <patternFill patternType="solid">
        <fgColor theme="8" tint="0.79998168889431442"/>
        <bgColor theme="8" tint="0.79998168889431442"/>
      </patternFill>
    </fill>
    <fill>
      <patternFill patternType="solid">
        <fgColor theme="9" tint="-0.249977111117893"/>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indexed="64"/>
      </right>
      <top style="thin">
        <color auto="1"/>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8">
    <xf numFmtId="0" fontId="0" fillId="0" borderId="0" xfId="0"/>
    <xf numFmtId="0" fontId="13" fillId="33" borderId="10" xfId="0" applyFont="1" applyFill="1" applyBorder="1" applyAlignment="1">
      <alignment horizontal="center" vertical="center"/>
    </xf>
    <xf numFmtId="0" fontId="0" fillId="34" borderId="10" xfId="0" applyFill="1" applyBorder="1" applyAlignment="1">
      <alignment horizontal="center" vertical="center"/>
    </xf>
    <xf numFmtId="0" fontId="0" fillId="35" borderId="10" xfId="0" applyFill="1" applyBorder="1" applyAlignment="1">
      <alignment horizontal="center" vertical="center"/>
    </xf>
    <xf numFmtId="0" fontId="0" fillId="0" borderId="0" xfId="0" pivotButton="1"/>
    <xf numFmtId="0" fontId="0" fillId="0" borderId="0" xfId="0" applyAlignment="1">
      <alignment horizontal="left"/>
    </xf>
    <xf numFmtId="1" fontId="0" fillId="0" borderId="0" xfId="0" applyNumberFormat="1"/>
    <xf numFmtId="0" fontId="18" fillId="36" borderId="0" xfId="0" applyFont="1" applyFill="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0">
    <dxf>
      <numFmt numFmtId="1" formatCode="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8" tint="0.79998168889431442"/>
          <bgColor theme="8" tint="0.79998168889431442"/>
        </patternFill>
      </fill>
      <alignment horizontal="center" vertical="center" textRotation="0" wrapText="0" indent="0" justifyLastLine="0" shrinkToFit="0" readingOrder="0"/>
    </dxf>
    <dxf>
      <border diagonalUp="0" diagonalDown="0" outline="0">
        <left style="thin">
          <color auto="1"/>
        </left>
        <right style="thin">
          <color indexed="64"/>
        </right>
        <top style="thin">
          <color auto="1"/>
        </top>
        <bottom style="thin">
          <color indexed="64"/>
        </bottom>
      </border>
    </dxf>
    <dxf>
      <font>
        <b/>
        <i val="0"/>
        <strike val="0"/>
        <condense val="0"/>
        <extend val="0"/>
        <outline val="0"/>
        <shadow val="0"/>
        <u val="none"/>
        <vertAlign val="baseline"/>
        <sz val="11"/>
        <color theme="0"/>
        <name val="Calibri"/>
        <family val="2"/>
        <scheme val="minor"/>
      </font>
      <fill>
        <patternFill patternType="solid">
          <fgColor theme="8"/>
          <bgColor theme="8"/>
        </patternFill>
      </fill>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tyles" Target="styles.xml"/><Relationship Id="rId5" Type="http://schemas.microsoft.com/office/2007/relationships/slicerCache" Target="slicerCaches/slicerCache1.xml"/><Relationship Id="rId10"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7/relationships/slicerCache" Target="slicerCaches/slicerCache5.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DASHBOARD.xlsm]Pivot!PivotTable1</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a:t>Profit By Product type over Stock levels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Pivot!$B$1</c:f>
              <c:strCache>
                <c:ptCount val="1"/>
                <c:pt idx="0">
                  <c:v>Sum of Profit</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Pivot!$A$2:$A$5</c:f>
              <c:strCache>
                <c:ptCount val="3"/>
                <c:pt idx="0">
                  <c:v>cosmetics</c:v>
                </c:pt>
                <c:pt idx="1">
                  <c:v>haircare</c:v>
                </c:pt>
                <c:pt idx="2">
                  <c:v>skincare</c:v>
                </c:pt>
              </c:strCache>
            </c:strRef>
          </c:cat>
          <c:val>
            <c:numRef>
              <c:f>Pivot!$B$2:$B$5</c:f>
              <c:numCache>
                <c:formatCode>0</c:formatCode>
                <c:ptCount val="3"/>
                <c:pt idx="0">
                  <c:v>148154.86871810001</c:v>
                </c:pt>
                <c:pt idx="1">
                  <c:v>157126.52774120003</c:v>
                </c:pt>
                <c:pt idx="2">
                  <c:v>219398.84406530004</c:v>
                </c:pt>
              </c:numCache>
            </c:numRef>
          </c:val>
          <c:extLst>
            <c:ext xmlns:c16="http://schemas.microsoft.com/office/drawing/2014/chart" uri="{C3380CC4-5D6E-409C-BE32-E72D297353CC}">
              <c16:uniqueId val="{00000000-ACF3-4C44-AEC3-C79C33362DF0}"/>
            </c:ext>
          </c:extLst>
        </c:ser>
        <c:dLbls>
          <c:showLegendKey val="0"/>
          <c:showVal val="0"/>
          <c:showCatName val="0"/>
          <c:showSerName val="0"/>
          <c:showPercent val="0"/>
          <c:showBubbleSize val="0"/>
        </c:dLbls>
        <c:gapWidth val="219"/>
        <c:overlap val="-27"/>
        <c:axId val="1287560799"/>
        <c:axId val="1287564639"/>
      </c:barChart>
      <c:lineChart>
        <c:grouping val="standard"/>
        <c:varyColors val="0"/>
        <c:ser>
          <c:idx val="1"/>
          <c:order val="1"/>
          <c:tx>
            <c:strRef>
              <c:f>Pivot!$C$1</c:f>
              <c:strCache>
                <c:ptCount val="1"/>
                <c:pt idx="0">
                  <c:v>Sum of Stock levels</c:v>
                </c:pt>
              </c:strCache>
            </c:strRef>
          </c:tx>
          <c:spPr>
            <a:ln w="34925" cap="rnd">
              <a:solidFill>
                <a:schemeClr val="accent5"/>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cat>
            <c:strRef>
              <c:f>Pivot!$A$2:$A$5</c:f>
              <c:strCache>
                <c:ptCount val="3"/>
                <c:pt idx="0">
                  <c:v>cosmetics</c:v>
                </c:pt>
                <c:pt idx="1">
                  <c:v>haircare</c:v>
                </c:pt>
                <c:pt idx="2">
                  <c:v>skincare</c:v>
                </c:pt>
              </c:strCache>
            </c:strRef>
          </c:cat>
          <c:val>
            <c:numRef>
              <c:f>Pivot!$C$2:$C$5</c:f>
              <c:numCache>
                <c:formatCode>General</c:formatCode>
                <c:ptCount val="3"/>
                <c:pt idx="0">
                  <c:v>1525</c:v>
                </c:pt>
                <c:pt idx="1">
                  <c:v>1644</c:v>
                </c:pt>
                <c:pt idx="2">
                  <c:v>1608</c:v>
                </c:pt>
              </c:numCache>
            </c:numRef>
          </c:val>
          <c:smooth val="0"/>
          <c:extLst>
            <c:ext xmlns:c16="http://schemas.microsoft.com/office/drawing/2014/chart" uri="{C3380CC4-5D6E-409C-BE32-E72D297353CC}">
              <c16:uniqueId val="{00000001-ACF3-4C44-AEC3-C79C33362DF0}"/>
            </c:ext>
          </c:extLst>
        </c:ser>
        <c:dLbls>
          <c:showLegendKey val="0"/>
          <c:showVal val="0"/>
          <c:showCatName val="0"/>
          <c:showSerName val="0"/>
          <c:showPercent val="0"/>
          <c:showBubbleSize val="0"/>
        </c:dLbls>
        <c:marker val="1"/>
        <c:smooth val="0"/>
        <c:axId val="1287707599"/>
        <c:axId val="1287706159"/>
      </c:lineChart>
      <c:catAx>
        <c:axId val="1287560799"/>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287564639"/>
        <c:crosses val="autoZero"/>
        <c:auto val="1"/>
        <c:lblAlgn val="ctr"/>
        <c:lblOffset val="100"/>
        <c:noMultiLvlLbl val="0"/>
      </c:catAx>
      <c:valAx>
        <c:axId val="1287564639"/>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287560799"/>
        <c:crosses val="autoZero"/>
        <c:crossBetween val="between"/>
      </c:valAx>
      <c:valAx>
        <c:axId val="1287706159"/>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287707599"/>
        <c:crosses val="max"/>
        <c:crossBetween val="between"/>
      </c:valAx>
      <c:catAx>
        <c:axId val="1287707599"/>
        <c:scaling>
          <c:orientation val="minMax"/>
        </c:scaling>
        <c:delete val="1"/>
        <c:axPos val="b"/>
        <c:numFmt formatCode="General" sourceLinked="1"/>
        <c:majorTickMark val="none"/>
        <c:minorTickMark val="none"/>
        <c:tickLblPos val="nextTo"/>
        <c:crossAx val="1287706159"/>
        <c:crosses val="autoZero"/>
        <c:auto val="1"/>
        <c:lblAlgn val="ctr"/>
        <c:lblOffset val="100"/>
        <c:noMultiLvlLbl val="0"/>
      </c:cat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DASHBOARD.xlsm]Pivot!PivotTable2</c:name>
    <c:fmtId val="1"/>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noFill/>
          <a:ln w="9525" cap="flat" cmpd="sng" algn="ctr">
            <a:solidFill>
              <a:schemeClr val="accent6"/>
            </a:solidFill>
            <a:miter lim="800000"/>
          </a:ln>
          <a:effectLst>
            <a:glow rad="63500">
              <a:schemeClr val="accent6">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6"/>
            </a:solidFill>
            <a:miter lim="800000"/>
          </a:ln>
          <a:effectLst>
            <a:glow rad="63500">
              <a:schemeClr val="accent6">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291509186351706"/>
          <c:y val="0.1267429244033125"/>
          <c:w val="0.37737685914260716"/>
          <c:h val="0.6907037586485264"/>
        </c:manualLayout>
      </c:layout>
      <c:barChart>
        <c:barDir val="bar"/>
        <c:grouping val="clustered"/>
        <c:varyColors val="0"/>
        <c:ser>
          <c:idx val="0"/>
          <c:order val="0"/>
          <c:tx>
            <c:strRef>
              <c:f>Pivot!$B$17:$B$18</c:f>
              <c:strCache>
                <c:ptCount val="1"/>
                <c:pt idx="0">
                  <c:v>Available</c:v>
                </c:pt>
              </c:strCache>
            </c:strRef>
          </c:tx>
          <c:spPr>
            <a:noFill/>
            <a:ln w="9525" cap="flat" cmpd="sng" algn="ctr">
              <a:solidFill>
                <a:schemeClr val="accent6"/>
              </a:solidFill>
              <a:miter lim="800000"/>
            </a:ln>
            <a:effectLst>
              <a:glow rad="63500">
                <a:schemeClr val="accent6">
                  <a:satMod val="175000"/>
                  <a:alpha val="25000"/>
                </a:schemeClr>
              </a:glow>
            </a:effectLst>
          </c:spPr>
          <c:invertIfNegative val="0"/>
          <c:cat>
            <c:strRef>
              <c:f>Pivot!$A$19:$A$22</c:f>
              <c:strCache>
                <c:ptCount val="3"/>
                <c:pt idx="0">
                  <c:v>cosmetics</c:v>
                </c:pt>
                <c:pt idx="1">
                  <c:v>haircare</c:v>
                </c:pt>
                <c:pt idx="2">
                  <c:v>skincare</c:v>
                </c:pt>
              </c:strCache>
            </c:strRef>
          </c:cat>
          <c:val>
            <c:numRef>
              <c:f>Pivot!$B$19:$B$22</c:f>
              <c:numCache>
                <c:formatCode>General</c:formatCode>
                <c:ptCount val="3"/>
                <c:pt idx="0">
                  <c:v>9672</c:v>
                </c:pt>
                <c:pt idx="1">
                  <c:v>10655</c:v>
                </c:pt>
                <c:pt idx="2">
                  <c:v>13204</c:v>
                </c:pt>
              </c:numCache>
            </c:numRef>
          </c:val>
          <c:extLst>
            <c:ext xmlns:c16="http://schemas.microsoft.com/office/drawing/2014/chart" uri="{C3380CC4-5D6E-409C-BE32-E72D297353CC}">
              <c16:uniqueId val="{00000000-9F2A-436F-9B07-65EB9FD7B3FB}"/>
            </c:ext>
          </c:extLst>
        </c:ser>
        <c:ser>
          <c:idx val="1"/>
          <c:order val="1"/>
          <c:tx>
            <c:strRef>
              <c:f>Pivot!$C$17:$C$18</c:f>
              <c:strCache>
                <c:ptCount val="1"/>
                <c:pt idx="0">
                  <c:v>Low Stock</c:v>
                </c:pt>
              </c:strCache>
            </c:strRef>
          </c:tx>
          <c:spPr>
            <a:noFill/>
            <a:ln w="9525" cap="flat" cmpd="sng" algn="ctr">
              <a:solidFill>
                <a:schemeClr val="accent5"/>
              </a:solidFill>
              <a:miter lim="800000"/>
            </a:ln>
            <a:effectLst>
              <a:glow rad="63500">
                <a:schemeClr val="accent5">
                  <a:satMod val="175000"/>
                  <a:alpha val="25000"/>
                </a:schemeClr>
              </a:glow>
            </a:effectLst>
          </c:spPr>
          <c:invertIfNegative val="0"/>
          <c:cat>
            <c:strRef>
              <c:f>Pivot!$A$19:$A$22</c:f>
              <c:strCache>
                <c:ptCount val="3"/>
                <c:pt idx="0">
                  <c:v>cosmetics</c:v>
                </c:pt>
                <c:pt idx="1">
                  <c:v>haircare</c:v>
                </c:pt>
                <c:pt idx="2">
                  <c:v>skincare</c:v>
                </c:pt>
              </c:strCache>
            </c:strRef>
          </c:cat>
          <c:val>
            <c:numRef>
              <c:f>Pivot!$C$19:$C$22</c:f>
              <c:numCache>
                <c:formatCode>General</c:formatCode>
                <c:ptCount val="3"/>
                <c:pt idx="0">
                  <c:v>2085</c:v>
                </c:pt>
                <c:pt idx="1">
                  <c:v>2956</c:v>
                </c:pt>
                <c:pt idx="2">
                  <c:v>7527</c:v>
                </c:pt>
              </c:numCache>
            </c:numRef>
          </c:val>
          <c:extLst>
            <c:ext xmlns:c16="http://schemas.microsoft.com/office/drawing/2014/chart" uri="{C3380CC4-5D6E-409C-BE32-E72D297353CC}">
              <c16:uniqueId val="{00000003-9F2A-436F-9B07-65EB9FD7B3FB}"/>
            </c:ext>
          </c:extLst>
        </c:ser>
        <c:dLbls>
          <c:showLegendKey val="0"/>
          <c:showVal val="0"/>
          <c:showCatName val="0"/>
          <c:showSerName val="0"/>
          <c:showPercent val="0"/>
          <c:showBubbleSize val="0"/>
        </c:dLbls>
        <c:gapWidth val="182"/>
        <c:overlap val="-50"/>
        <c:axId val="1776760799"/>
        <c:axId val="1776761279"/>
      </c:barChart>
      <c:valAx>
        <c:axId val="1776761279"/>
        <c:scaling>
          <c:orientation val="minMax"/>
        </c:scaling>
        <c:delete val="0"/>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title>
          <c:tx>
            <c:rich>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IN"/>
                  <a:t>Inventory</a:t>
                </a:r>
                <a:r>
                  <a:rPr lang="en-IN" baseline="0"/>
                  <a:t> status</a:t>
                </a:r>
                <a:endParaRPr lang="en-IN"/>
              </a:p>
            </c:rich>
          </c:tx>
          <c:overlay val="0"/>
          <c:spPr>
            <a:noFill/>
            <a:ln>
              <a:noFill/>
            </a:ln>
            <a:effectLst/>
          </c:spPr>
          <c:txPr>
            <a:bodyPr rot="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IN"/>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776760799"/>
        <c:crosses val="autoZero"/>
        <c:crossBetween val="between"/>
      </c:valAx>
      <c:catAx>
        <c:axId val="1776760799"/>
        <c:scaling>
          <c:orientation val="minMax"/>
        </c:scaling>
        <c:delete val="0"/>
        <c:axPos val="l"/>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title>
          <c:tx>
            <c:rich>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r>
                  <a:rPr lang="en-IN"/>
                  <a:t>Product</a:t>
                </a:r>
                <a:r>
                  <a:rPr lang="en-IN" baseline="0"/>
                  <a:t> type</a:t>
                </a:r>
                <a:endParaRPr lang="en-IN"/>
              </a:p>
            </c:rich>
          </c:tx>
          <c:layout>
            <c:manualLayout>
              <c:xMode val="edge"/>
              <c:yMode val="edge"/>
              <c:x val="0.13262848554187137"/>
              <c:y val="0.19310907392614568"/>
            </c:manualLayout>
          </c:layout>
          <c:overlay val="0"/>
          <c:spPr>
            <a:noFill/>
            <a:ln>
              <a:noFill/>
            </a:ln>
            <a:effectLst/>
          </c:spPr>
          <c:txPr>
            <a:bodyPr rot="-5400000" spcFirstLastPara="1" vertOverflow="ellipsis" vert="horz" wrap="square" anchor="ctr" anchorCtr="1"/>
            <a:lstStyle/>
            <a:p>
              <a:pPr>
                <a:defRPr sz="900" b="1" i="0" u="none" strike="noStrike" kern="1200" baseline="0">
                  <a:solidFill>
                    <a:schemeClr val="lt1">
                      <a:lumMod val="75000"/>
                    </a:schemeClr>
                  </a:solidFill>
                  <a:latin typeface="+mn-lt"/>
                  <a:ea typeface="+mn-ea"/>
                  <a:cs typeface="+mn-cs"/>
                </a:defRPr>
              </a:pPr>
              <a:endParaRPr lang="en-IN"/>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776761279"/>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DASHBOARD.xlsm]Pivot!PivotTable3</c:name>
    <c:fmtId val="0"/>
  </c:pivotSource>
  <c:chart>
    <c:autoTitleDeleted val="0"/>
    <c:pivotFmts>
      <c:pivotFmt>
        <c:idx val="0"/>
        <c:spPr>
          <a:noFill/>
          <a:ln w="9525" cap="flat" cmpd="sng" algn="ctr">
            <a:solidFill>
              <a:schemeClr val="accent6"/>
            </a:solidFill>
            <a:miter lim="800000"/>
          </a:ln>
          <a:effectLst>
            <a:glow rad="63500">
              <a:schemeClr val="accent6">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6"/>
            </a:solidFill>
            <a:miter lim="800000"/>
          </a:ln>
          <a:effectLst>
            <a:glow rad="63500">
              <a:schemeClr val="accent6">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6"/>
            </a:solidFill>
            <a:miter lim="800000"/>
          </a:ln>
          <a:effectLst>
            <a:glow rad="63500">
              <a:schemeClr val="accent6">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Pivot!$B$35:$B$36</c:f>
              <c:strCache>
                <c:ptCount val="1"/>
                <c:pt idx="0">
                  <c:v>cosmetics</c:v>
                </c:pt>
              </c:strCache>
            </c:strRef>
          </c:tx>
          <c:spPr>
            <a:noFill/>
            <a:ln w="9525" cap="flat" cmpd="sng" algn="ctr">
              <a:solidFill>
                <a:schemeClr val="accent6"/>
              </a:solidFill>
              <a:miter lim="800000"/>
            </a:ln>
            <a:effectLst>
              <a:glow rad="63500">
                <a:schemeClr val="accent6">
                  <a:satMod val="175000"/>
                  <a:alpha val="25000"/>
                </a:schemeClr>
              </a:glow>
            </a:effectLst>
          </c:spPr>
          <c:invertIfNegative val="0"/>
          <c:cat>
            <c:strRef>
              <c:f>Pivot!$A$37:$A$41</c:f>
              <c:strCache>
                <c:ptCount val="4"/>
                <c:pt idx="0">
                  <c:v>Female</c:v>
                </c:pt>
                <c:pt idx="1">
                  <c:v>Male</c:v>
                </c:pt>
                <c:pt idx="2">
                  <c:v>Non-binary</c:v>
                </c:pt>
                <c:pt idx="3">
                  <c:v>Unknown</c:v>
                </c:pt>
              </c:strCache>
            </c:strRef>
          </c:cat>
          <c:val>
            <c:numRef>
              <c:f>Pivot!$B$37:$B$41</c:f>
              <c:numCache>
                <c:formatCode>General</c:formatCode>
                <c:ptCount val="4"/>
                <c:pt idx="0">
                  <c:v>533</c:v>
                </c:pt>
                <c:pt idx="1">
                  <c:v>246</c:v>
                </c:pt>
                <c:pt idx="2">
                  <c:v>318</c:v>
                </c:pt>
                <c:pt idx="3">
                  <c:v>246</c:v>
                </c:pt>
              </c:numCache>
            </c:numRef>
          </c:val>
          <c:extLst>
            <c:ext xmlns:c16="http://schemas.microsoft.com/office/drawing/2014/chart" uri="{C3380CC4-5D6E-409C-BE32-E72D297353CC}">
              <c16:uniqueId val="{00000000-95CF-46BD-B48F-C08907AB222C}"/>
            </c:ext>
          </c:extLst>
        </c:ser>
        <c:ser>
          <c:idx val="1"/>
          <c:order val="1"/>
          <c:tx>
            <c:strRef>
              <c:f>Pivot!$C$35:$C$36</c:f>
              <c:strCache>
                <c:ptCount val="1"/>
                <c:pt idx="0">
                  <c:v>haircare</c:v>
                </c:pt>
              </c:strCache>
            </c:strRef>
          </c:tx>
          <c:spPr>
            <a:noFill/>
            <a:ln w="9525" cap="flat" cmpd="sng" algn="ctr">
              <a:solidFill>
                <a:schemeClr val="accent5"/>
              </a:solidFill>
              <a:miter lim="800000"/>
            </a:ln>
            <a:effectLst>
              <a:glow rad="63500">
                <a:schemeClr val="accent5">
                  <a:satMod val="175000"/>
                  <a:alpha val="25000"/>
                </a:schemeClr>
              </a:glow>
            </a:effectLst>
          </c:spPr>
          <c:invertIfNegative val="0"/>
          <c:cat>
            <c:strRef>
              <c:f>Pivot!$A$37:$A$41</c:f>
              <c:strCache>
                <c:ptCount val="4"/>
                <c:pt idx="0">
                  <c:v>Female</c:v>
                </c:pt>
                <c:pt idx="1">
                  <c:v>Male</c:v>
                </c:pt>
                <c:pt idx="2">
                  <c:v>Non-binary</c:v>
                </c:pt>
                <c:pt idx="3">
                  <c:v>Unknown</c:v>
                </c:pt>
              </c:strCache>
            </c:strRef>
          </c:cat>
          <c:val>
            <c:numRef>
              <c:f>Pivot!$C$37:$C$41</c:f>
              <c:numCache>
                <c:formatCode>General</c:formatCode>
                <c:ptCount val="4"/>
                <c:pt idx="0">
                  <c:v>23</c:v>
                </c:pt>
                <c:pt idx="1">
                  <c:v>333</c:v>
                </c:pt>
                <c:pt idx="2">
                  <c:v>316</c:v>
                </c:pt>
                <c:pt idx="3">
                  <c:v>808</c:v>
                </c:pt>
              </c:numCache>
            </c:numRef>
          </c:val>
          <c:extLst>
            <c:ext xmlns:c16="http://schemas.microsoft.com/office/drawing/2014/chart" uri="{C3380CC4-5D6E-409C-BE32-E72D297353CC}">
              <c16:uniqueId val="{00000001-95CF-46BD-B48F-C08907AB222C}"/>
            </c:ext>
          </c:extLst>
        </c:ser>
        <c:ser>
          <c:idx val="2"/>
          <c:order val="2"/>
          <c:tx>
            <c:strRef>
              <c:f>Pivot!$D$35:$D$36</c:f>
              <c:strCache>
                <c:ptCount val="1"/>
                <c:pt idx="0">
                  <c:v>skincare</c:v>
                </c:pt>
              </c:strCache>
            </c:strRef>
          </c:tx>
          <c:spPr>
            <a:noFill/>
            <a:ln w="9525" cap="flat" cmpd="sng" algn="ctr">
              <a:solidFill>
                <a:schemeClr val="accent4"/>
              </a:solidFill>
              <a:miter lim="800000"/>
            </a:ln>
            <a:effectLst>
              <a:glow rad="63500">
                <a:schemeClr val="accent4">
                  <a:satMod val="175000"/>
                  <a:alpha val="25000"/>
                </a:schemeClr>
              </a:glow>
            </a:effectLst>
          </c:spPr>
          <c:invertIfNegative val="0"/>
          <c:cat>
            <c:strRef>
              <c:f>Pivot!$A$37:$A$41</c:f>
              <c:strCache>
                <c:ptCount val="4"/>
                <c:pt idx="0">
                  <c:v>Female</c:v>
                </c:pt>
                <c:pt idx="1">
                  <c:v>Male</c:v>
                </c:pt>
                <c:pt idx="2">
                  <c:v>Non-binary</c:v>
                </c:pt>
                <c:pt idx="3">
                  <c:v>Unknown</c:v>
                </c:pt>
              </c:strCache>
            </c:strRef>
          </c:cat>
          <c:val>
            <c:numRef>
              <c:f>Pivot!$D$37:$D$41</c:f>
              <c:numCache>
                <c:formatCode>General</c:formatCode>
                <c:ptCount val="4"/>
                <c:pt idx="0">
                  <c:v>585</c:v>
                </c:pt>
                <c:pt idx="1">
                  <c:v>320</c:v>
                </c:pt>
                <c:pt idx="2">
                  <c:v>658</c:v>
                </c:pt>
                <c:pt idx="3">
                  <c:v>536</c:v>
                </c:pt>
              </c:numCache>
            </c:numRef>
          </c:val>
          <c:extLst>
            <c:ext xmlns:c16="http://schemas.microsoft.com/office/drawing/2014/chart" uri="{C3380CC4-5D6E-409C-BE32-E72D297353CC}">
              <c16:uniqueId val="{00000002-95CF-46BD-B48F-C08907AB222C}"/>
            </c:ext>
          </c:extLst>
        </c:ser>
        <c:dLbls>
          <c:showLegendKey val="0"/>
          <c:showVal val="0"/>
          <c:showCatName val="0"/>
          <c:showSerName val="0"/>
          <c:showPercent val="0"/>
          <c:showBubbleSize val="0"/>
        </c:dLbls>
        <c:gapWidth val="315"/>
        <c:overlap val="-40"/>
        <c:axId val="1782658575"/>
        <c:axId val="1782649935"/>
      </c:barChart>
      <c:catAx>
        <c:axId val="1782658575"/>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782649935"/>
        <c:crosses val="autoZero"/>
        <c:auto val="1"/>
        <c:lblAlgn val="ctr"/>
        <c:lblOffset val="100"/>
        <c:noMultiLvlLbl val="0"/>
      </c:catAx>
      <c:valAx>
        <c:axId val="178264993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782658575"/>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DASHBOARD.xlsm]Pivot!PivotTable4</c:name>
    <c:fmtId val="0"/>
  </c:pivotSource>
  <c:chart>
    <c:autoTitleDeleted val="1"/>
    <c:pivotFmts>
      <c:pivotFmt>
        <c:idx val="0"/>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Pivot!$B$53:$B$54</c:f>
              <c:strCache>
                <c:ptCount val="1"/>
                <c:pt idx="0">
                  <c:v>Air</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strRef>
              <c:f>Pivot!$A$55:$A$58</c:f>
              <c:strCache>
                <c:ptCount val="3"/>
                <c:pt idx="0">
                  <c:v>cosmetics</c:v>
                </c:pt>
                <c:pt idx="1">
                  <c:v>haircare</c:v>
                </c:pt>
                <c:pt idx="2">
                  <c:v>skincare</c:v>
                </c:pt>
              </c:strCache>
            </c:strRef>
          </c:cat>
          <c:val>
            <c:numRef>
              <c:f>Pivot!$B$55:$B$58</c:f>
              <c:numCache>
                <c:formatCode>General</c:formatCode>
                <c:ptCount val="3"/>
                <c:pt idx="0">
                  <c:v>2310</c:v>
                </c:pt>
                <c:pt idx="1">
                  <c:v>2534</c:v>
                </c:pt>
                <c:pt idx="2">
                  <c:v>6038</c:v>
                </c:pt>
              </c:numCache>
            </c:numRef>
          </c:val>
          <c:smooth val="0"/>
          <c:extLst>
            <c:ext xmlns:c16="http://schemas.microsoft.com/office/drawing/2014/chart" uri="{C3380CC4-5D6E-409C-BE32-E72D297353CC}">
              <c16:uniqueId val="{00000000-5253-4699-86A8-1BDEC7C75FC2}"/>
            </c:ext>
          </c:extLst>
        </c:ser>
        <c:ser>
          <c:idx val="1"/>
          <c:order val="1"/>
          <c:tx>
            <c:strRef>
              <c:f>Pivot!$C$53:$C$54</c:f>
              <c:strCache>
                <c:ptCount val="1"/>
                <c:pt idx="0">
                  <c:v>Rail</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cat>
            <c:strRef>
              <c:f>Pivot!$A$55:$A$58</c:f>
              <c:strCache>
                <c:ptCount val="3"/>
                <c:pt idx="0">
                  <c:v>cosmetics</c:v>
                </c:pt>
                <c:pt idx="1">
                  <c:v>haircare</c:v>
                </c:pt>
                <c:pt idx="2">
                  <c:v>skincare</c:v>
                </c:pt>
              </c:strCache>
            </c:strRef>
          </c:cat>
          <c:val>
            <c:numRef>
              <c:f>Pivot!$C$55:$C$58</c:f>
              <c:numCache>
                <c:formatCode>General</c:formatCode>
                <c:ptCount val="3"/>
                <c:pt idx="0">
                  <c:v>4833</c:v>
                </c:pt>
                <c:pt idx="1">
                  <c:v>4226</c:v>
                </c:pt>
                <c:pt idx="2">
                  <c:v>4434</c:v>
                </c:pt>
              </c:numCache>
            </c:numRef>
          </c:val>
          <c:smooth val="0"/>
          <c:extLst>
            <c:ext xmlns:c16="http://schemas.microsoft.com/office/drawing/2014/chart" uri="{C3380CC4-5D6E-409C-BE32-E72D297353CC}">
              <c16:uniqueId val="{00000001-5253-4699-86A8-1BDEC7C75FC2}"/>
            </c:ext>
          </c:extLst>
        </c:ser>
        <c:ser>
          <c:idx val="2"/>
          <c:order val="2"/>
          <c:tx>
            <c:strRef>
              <c:f>Pivot!$D$53:$D$54</c:f>
              <c:strCache>
                <c:ptCount val="1"/>
                <c:pt idx="0">
                  <c:v>Road</c:v>
                </c:pt>
              </c:strCache>
            </c:strRef>
          </c:tx>
          <c:spPr>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cat>
            <c:strRef>
              <c:f>Pivot!$A$55:$A$58</c:f>
              <c:strCache>
                <c:ptCount val="3"/>
                <c:pt idx="0">
                  <c:v>cosmetics</c:v>
                </c:pt>
                <c:pt idx="1">
                  <c:v>haircare</c:v>
                </c:pt>
                <c:pt idx="2">
                  <c:v>skincare</c:v>
                </c:pt>
              </c:strCache>
            </c:strRef>
          </c:cat>
          <c:val>
            <c:numRef>
              <c:f>Pivot!$D$55:$D$58</c:f>
              <c:numCache>
                <c:formatCode>General</c:formatCode>
                <c:ptCount val="3"/>
                <c:pt idx="0">
                  <c:v>2040</c:v>
                </c:pt>
                <c:pt idx="1">
                  <c:v>4505</c:v>
                </c:pt>
                <c:pt idx="2">
                  <c:v>6575</c:v>
                </c:pt>
              </c:numCache>
            </c:numRef>
          </c:val>
          <c:smooth val="0"/>
          <c:extLst>
            <c:ext xmlns:c16="http://schemas.microsoft.com/office/drawing/2014/chart" uri="{C3380CC4-5D6E-409C-BE32-E72D297353CC}">
              <c16:uniqueId val="{00000002-5253-4699-86A8-1BDEC7C75FC2}"/>
            </c:ext>
          </c:extLst>
        </c:ser>
        <c:ser>
          <c:idx val="3"/>
          <c:order val="3"/>
          <c:tx>
            <c:strRef>
              <c:f>Pivot!$E$53:$E$54</c:f>
              <c:strCache>
                <c:ptCount val="1"/>
                <c:pt idx="0">
                  <c:v>Sea</c:v>
                </c:pt>
              </c:strCache>
            </c:strRef>
          </c:tx>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cat>
            <c:strRef>
              <c:f>Pivot!$A$55:$A$58</c:f>
              <c:strCache>
                <c:ptCount val="3"/>
                <c:pt idx="0">
                  <c:v>cosmetics</c:v>
                </c:pt>
                <c:pt idx="1">
                  <c:v>haircare</c:v>
                </c:pt>
                <c:pt idx="2">
                  <c:v>skincare</c:v>
                </c:pt>
              </c:strCache>
            </c:strRef>
          </c:cat>
          <c:val>
            <c:numRef>
              <c:f>Pivot!$E$55:$E$58</c:f>
              <c:numCache>
                <c:formatCode>General</c:formatCode>
                <c:ptCount val="3"/>
                <c:pt idx="0">
                  <c:v>2574</c:v>
                </c:pt>
                <c:pt idx="1">
                  <c:v>2346</c:v>
                </c:pt>
                <c:pt idx="2">
                  <c:v>3684</c:v>
                </c:pt>
              </c:numCache>
            </c:numRef>
          </c:val>
          <c:smooth val="0"/>
          <c:extLst>
            <c:ext xmlns:c16="http://schemas.microsoft.com/office/drawing/2014/chart" uri="{C3380CC4-5D6E-409C-BE32-E72D297353CC}">
              <c16:uniqueId val="{00000003-5253-4699-86A8-1BDEC7C75FC2}"/>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782630735"/>
        <c:axId val="1782631215"/>
      </c:lineChart>
      <c:catAx>
        <c:axId val="1782630735"/>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r>
                  <a:rPr lang="en-IN"/>
                  <a:t>Product</a:t>
                </a:r>
                <a:r>
                  <a:rPr lang="en-IN" baseline="0"/>
                  <a:t> type</a:t>
                </a:r>
                <a:endParaRPr lang="en-IN"/>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782631215"/>
        <c:crosses val="autoZero"/>
        <c:auto val="1"/>
        <c:lblAlgn val="ctr"/>
        <c:lblOffset val="100"/>
        <c:noMultiLvlLbl val="0"/>
      </c:catAx>
      <c:valAx>
        <c:axId val="1782631215"/>
        <c:scaling>
          <c:orientation val="minMax"/>
        </c:scaling>
        <c:delete val="0"/>
        <c:axPos val="l"/>
        <c:majorGridlines>
          <c:spPr>
            <a:ln>
              <a:solidFill>
                <a:schemeClr val="dk1">
                  <a:lumMod val="15000"/>
                  <a:lumOff val="85000"/>
                </a:schemeClr>
              </a:solidFill>
            </a:ln>
            <a:effectLst/>
          </c:spPr>
        </c:majorGridlines>
        <c:title>
          <c:tx>
            <c:rich>
              <a:bodyPr rot="-540000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r>
                  <a:rPr lang="en-IN"/>
                  <a:t>products</a:t>
                </a:r>
                <a:r>
                  <a:rPr lang="en-IN" baseline="0"/>
                  <a:t> sold</a:t>
                </a:r>
                <a:endParaRPr lang="en-IN"/>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782630735"/>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DASHBOARD.xlsm]Pivot!PivotTable5</c:name>
    <c:fmtId val="0"/>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outerShdw blurRad="317500" algn="ctr" rotWithShape="0">
              <a:prstClr val="black">
                <a:alpha val="25000"/>
              </a:prstClr>
            </a:outerShdw>
          </a:effectLst>
        </c:spPr>
      </c:pivotFmt>
      <c:pivotFmt>
        <c:idx val="4"/>
        <c:spPr>
          <a:solidFill>
            <a:schemeClr val="accent1"/>
          </a:solidFill>
          <a:ln>
            <a:noFill/>
          </a:ln>
          <a:effectLst>
            <a:outerShdw blurRad="317500" algn="ctr" rotWithShape="0">
              <a:prstClr val="black">
                <a:alpha val="25000"/>
              </a:prstClr>
            </a:outerShdw>
          </a:effectLst>
        </c:spPr>
      </c:pivotFmt>
      <c:pivotFmt>
        <c:idx val="5"/>
        <c:spPr>
          <a:solidFill>
            <a:schemeClr val="accent1"/>
          </a:solidFill>
          <a:ln>
            <a:noFill/>
          </a:ln>
          <a:effectLst>
            <a:outerShdw blurRad="317500" algn="ctr" rotWithShape="0">
              <a:prstClr val="black">
                <a:alpha val="25000"/>
              </a:prstClr>
            </a:outerShdw>
          </a:effectLst>
        </c:spPr>
      </c:pivotFmt>
      <c:pivotFmt>
        <c:idx val="6"/>
        <c:spPr>
          <a:solidFill>
            <a:schemeClr val="accent1"/>
          </a:solidFill>
          <a:ln>
            <a:noFill/>
          </a:ln>
          <a:effectLst>
            <a:outerShdw blurRad="317500" algn="ctr" rotWithShape="0">
              <a:prstClr val="black">
                <a:alpha val="25000"/>
              </a:prstClr>
            </a:outerShdw>
          </a:effectLst>
        </c:spPr>
      </c:pivotFmt>
      <c:pivotFmt>
        <c:idx val="7"/>
        <c:spPr>
          <a:solidFill>
            <a:schemeClr val="accent1"/>
          </a:solidFill>
          <a:ln>
            <a:noFill/>
          </a:ln>
          <a:effectLst>
            <a:outerShdw blurRad="317500" algn="ctr" rotWithShape="0">
              <a:prstClr val="black">
                <a:alpha val="25000"/>
              </a:prstClr>
            </a:outerShdw>
          </a:effectLst>
        </c:spPr>
      </c:pivotFmt>
      <c:pivotFmt>
        <c:idx val="8"/>
        <c:spPr>
          <a:solidFill>
            <a:schemeClr val="accent1"/>
          </a:solidFill>
          <a:ln>
            <a:noFill/>
          </a:ln>
          <a:effectLst>
            <a:outerShdw blurRad="317500" algn="ctr" rotWithShape="0">
              <a:prstClr val="black">
                <a:alpha val="25000"/>
              </a:prstClr>
            </a:outerShdw>
          </a:effectLst>
        </c:spPr>
      </c:pivotFmt>
      <c:pivotFmt>
        <c:idx val="9"/>
        <c:spPr>
          <a:solidFill>
            <a:schemeClr val="accent1"/>
          </a:solidFill>
          <a:ln>
            <a:noFill/>
          </a:ln>
          <a:effectLst>
            <a:outerShdw blurRad="317500" algn="ctr" rotWithShape="0">
              <a:prstClr val="black">
                <a:alpha val="25000"/>
              </a:prstClr>
            </a:outerShdw>
          </a:effectLst>
        </c:spPr>
      </c:pivotFmt>
      <c:pivotFmt>
        <c:idx val="10"/>
        <c:spPr>
          <a:solidFill>
            <a:schemeClr val="accent1"/>
          </a:solidFill>
          <a:ln>
            <a:noFill/>
          </a:ln>
          <a:effectLst>
            <a:outerShdw blurRad="317500" algn="ctr" rotWithShape="0">
              <a:prstClr val="black">
                <a:alpha val="25000"/>
              </a:prstClr>
            </a:outerShdw>
          </a:effectLst>
        </c:spPr>
      </c:pivotFmt>
      <c:pivotFmt>
        <c:idx val="11"/>
        <c:spPr>
          <a:solidFill>
            <a:schemeClr val="accent1"/>
          </a:solidFill>
          <a:ln>
            <a:noFill/>
          </a:ln>
          <a:effectLst>
            <a:outerShdw blurRad="317500" algn="ctr" rotWithShape="0">
              <a:prstClr val="black">
                <a:alpha val="25000"/>
              </a:prstClr>
            </a:outerShdw>
          </a:effectLst>
        </c:spPr>
      </c:pivotFmt>
    </c:pivotFmts>
    <c:plotArea>
      <c:layout/>
      <c:pieChart>
        <c:varyColors val="1"/>
        <c:ser>
          <c:idx val="0"/>
          <c:order val="0"/>
          <c:tx>
            <c:strRef>
              <c:f>Pivot!$B$70:$B$71</c:f>
              <c:strCache>
                <c:ptCount val="1"/>
                <c:pt idx="0">
                  <c:v>Carrier A</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489D-40D6-85AE-BC5E94AB3DF5}"/>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489D-40D6-85AE-BC5E94AB3DF5}"/>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489D-40D6-85AE-BC5E94AB3DF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Pivot!$A$72:$A$75</c:f>
              <c:strCache>
                <c:ptCount val="3"/>
                <c:pt idx="0">
                  <c:v>cosmetics</c:v>
                </c:pt>
                <c:pt idx="1">
                  <c:v>haircare</c:v>
                </c:pt>
                <c:pt idx="2">
                  <c:v>skincare</c:v>
                </c:pt>
              </c:strCache>
            </c:strRef>
          </c:cat>
          <c:val>
            <c:numRef>
              <c:f>Pivot!$B$72:$B$75</c:f>
              <c:numCache>
                <c:formatCode>General</c:formatCode>
                <c:ptCount val="3"/>
                <c:pt idx="0">
                  <c:v>2876</c:v>
                </c:pt>
                <c:pt idx="1">
                  <c:v>3979</c:v>
                </c:pt>
                <c:pt idx="2">
                  <c:v>8226</c:v>
                </c:pt>
              </c:numCache>
            </c:numRef>
          </c:val>
          <c:extLst>
            <c:ext xmlns:c16="http://schemas.microsoft.com/office/drawing/2014/chart" uri="{C3380CC4-5D6E-409C-BE32-E72D297353CC}">
              <c16:uniqueId val="{00000000-9D82-4D5F-AEA5-B3CF07CD17CD}"/>
            </c:ext>
          </c:extLst>
        </c:ser>
        <c:ser>
          <c:idx val="1"/>
          <c:order val="1"/>
          <c:tx>
            <c:strRef>
              <c:f>Pivot!$C$70:$C$71</c:f>
              <c:strCache>
                <c:ptCount val="1"/>
                <c:pt idx="0">
                  <c:v>Carrier B</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489D-40D6-85AE-BC5E94AB3DF5}"/>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489D-40D6-85AE-BC5E94AB3DF5}"/>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489D-40D6-85AE-BC5E94AB3DF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Pivot!$A$72:$A$75</c:f>
              <c:strCache>
                <c:ptCount val="3"/>
                <c:pt idx="0">
                  <c:v>cosmetics</c:v>
                </c:pt>
                <c:pt idx="1">
                  <c:v>haircare</c:v>
                </c:pt>
                <c:pt idx="2">
                  <c:v>skincare</c:v>
                </c:pt>
              </c:strCache>
            </c:strRef>
          </c:cat>
          <c:val>
            <c:numRef>
              <c:f>Pivot!$C$72:$C$75</c:f>
              <c:numCache>
                <c:formatCode>General</c:formatCode>
                <c:ptCount val="3"/>
                <c:pt idx="0">
                  <c:v>5551</c:v>
                </c:pt>
                <c:pt idx="1">
                  <c:v>8401</c:v>
                </c:pt>
                <c:pt idx="2">
                  <c:v>6937</c:v>
                </c:pt>
              </c:numCache>
            </c:numRef>
          </c:val>
          <c:extLst>
            <c:ext xmlns:c16="http://schemas.microsoft.com/office/drawing/2014/chart" uri="{C3380CC4-5D6E-409C-BE32-E72D297353CC}">
              <c16:uniqueId val="{00000001-9D82-4D5F-AEA5-B3CF07CD17CD}"/>
            </c:ext>
          </c:extLst>
        </c:ser>
        <c:ser>
          <c:idx val="2"/>
          <c:order val="2"/>
          <c:tx>
            <c:strRef>
              <c:f>Pivot!$D$70:$D$71</c:f>
              <c:strCache>
                <c:ptCount val="1"/>
                <c:pt idx="0">
                  <c:v>Carrier C</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D-489D-40D6-85AE-BC5E94AB3DF5}"/>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F-489D-40D6-85AE-BC5E94AB3DF5}"/>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1-489D-40D6-85AE-BC5E94AB3DF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Pivot!$A$72:$A$75</c:f>
              <c:strCache>
                <c:ptCount val="3"/>
                <c:pt idx="0">
                  <c:v>cosmetics</c:v>
                </c:pt>
                <c:pt idx="1">
                  <c:v>haircare</c:v>
                </c:pt>
                <c:pt idx="2">
                  <c:v>skincare</c:v>
                </c:pt>
              </c:strCache>
            </c:strRef>
          </c:cat>
          <c:val>
            <c:numRef>
              <c:f>Pivot!$D$72:$D$75</c:f>
              <c:numCache>
                <c:formatCode>General</c:formatCode>
                <c:ptCount val="3"/>
                <c:pt idx="0">
                  <c:v>3330</c:v>
                </c:pt>
                <c:pt idx="1">
                  <c:v>1231</c:v>
                </c:pt>
                <c:pt idx="2">
                  <c:v>5568</c:v>
                </c:pt>
              </c:numCache>
            </c:numRef>
          </c:val>
          <c:extLst>
            <c:ext xmlns:c16="http://schemas.microsoft.com/office/drawing/2014/chart" uri="{C3380CC4-5D6E-409C-BE32-E72D297353CC}">
              <c16:uniqueId val="{00000005-9D82-4D5F-AEA5-B3CF07CD17CD}"/>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DASHBOARD.xlsm]Pivot!PivotTable1</c:name>
    <c:fmtId val="6"/>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IN"/>
              <a:t>Profit By Product type over Stock levels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34925" cap="rnd">
            <a:solidFill>
              <a:schemeClr val="accent6"/>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Pivot!$B$1</c:f>
              <c:strCache>
                <c:ptCount val="1"/>
                <c:pt idx="0">
                  <c:v>Sum of Profit</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Pivot!$A$2:$A$5</c:f>
              <c:strCache>
                <c:ptCount val="3"/>
                <c:pt idx="0">
                  <c:v>cosmetics</c:v>
                </c:pt>
                <c:pt idx="1">
                  <c:v>haircare</c:v>
                </c:pt>
                <c:pt idx="2">
                  <c:v>skincare</c:v>
                </c:pt>
              </c:strCache>
            </c:strRef>
          </c:cat>
          <c:val>
            <c:numRef>
              <c:f>Pivot!$B$2:$B$5</c:f>
              <c:numCache>
                <c:formatCode>0</c:formatCode>
                <c:ptCount val="3"/>
                <c:pt idx="0">
                  <c:v>148154.86871810001</c:v>
                </c:pt>
                <c:pt idx="1">
                  <c:v>157126.52774120003</c:v>
                </c:pt>
                <c:pt idx="2">
                  <c:v>219398.84406530004</c:v>
                </c:pt>
              </c:numCache>
            </c:numRef>
          </c:val>
          <c:extLst>
            <c:ext xmlns:c16="http://schemas.microsoft.com/office/drawing/2014/chart" uri="{C3380CC4-5D6E-409C-BE32-E72D297353CC}">
              <c16:uniqueId val="{00000000-AB48-4142-A232-DE2B5D455978}"/>
            </c:ext>
          </c:extLst>
        </c:ser>
        <c:dLbls>
          <c:showLegendKey val="0"/>
          <c:showVal val="0"/>
          <c:showCatName val="0"/>
          <c:showSerName val="0"/>
          <c:showPercent val="0"/>
          <c:showBubbleSize val="0"/>
        </c:dLbls>
        <c:gapWidth val="219"/>
        <c:overlap val="-27"/>
        <c:axId val="1287560799"/>
        <c:axId val="1287564639"/>
      </c:barChart>
      <c:lineChart>
        <c:grouping val="standard"/>
        <c:varyColors val="0"/>
        <c:ser>
          <c:idx val="1"/>
          <c:order val="1"/>
          <c:tx>
            <c:strRef>
              <c:f>Pivot!$C$1</c:f>
              <c:strCache>
                <c:ptCount val="1"/>
                <c:pt idx="0">
                  <c:v>Sum of Stock levels</c:v>
                </c:pt>
              </c:strCache>
            </c:strRef>
          </c:tx>
          <c:spPr>
            <a:ln w="34925" cap="rnd">
              <a:solidFill>
                <a:schemeClr val="accent5"/>
              </a:solidFill>
              <a:round/>
            </a:ln>
            <a:effectLst>
              <a:outerShdw blurRad="57150" dist="19050" dir="5400000" algn="ctr" rotWithShape="0">
                <a:srgbClr val="000000">
                  <a:alpha val="63000"/>
                </a:srgbClr>
              </a:outerShdw>
            </a:effectLst>
          </c:spPr>
          <c:marker>
            <c:symbol val="circle"/>
            <c:size val="6"/>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w="9525">
                <a:solidFill>
                  <a:schemeClr val="accent5"/>
                </a:solidFill>
                <a:round/>
              </a:ln>
              <a:effectLst>
                <a:outerShdw blurRad="57150" dist="19050" dir="5400000" algn="ctr" rotWithShape="0">
                  <a:srgbClr val="000000">
                    <a:alpha val="63000"/>
                  </a:srgbClr>
                </a:outerShdw>
              </a:effectLst>
            </c:spPr>
          </c:marker>
          <c:cat>
            <c:strRef>
              <c:f>Pivot!$A$2:$A$5</c:f>
              <c:strCache>
                <c:ptCount val="3"/>
                <c:pt idx="0">
                  <c:v>cosmetics</c:v>
                </c:pt>
                <c:pt idx="1">
                  <c:v>haircare</c:v>
                </c:pt>
                <c:pt idx="2">
                  <c:v>skincare</c:v>
                </c:pt>
              </c:strCache>
            </c:strRef>
          </c:cat>
          <c:val>
            <c:numRef>
              <c:f>Pivot!$C$2:$C$5</c:f>
              <c:numCache>
                <c:formatCode>General</c:formatCode>
                <c:ptCount val="3"/>
                <c:pt idx="0">
                  <c:v>1525</c:v>
                </c:pt>
                <c:pt idx="1">
                  <c:v>1644</c:v>
                </c:pt>
                <c:pt idx="2">
                  <c:v>1608</c:v>
                </c:pt>
              </c:numCache>
            </c:numRef>
          </c:val>
          <c:smooth val="0"/>
          <c:extLst>
            <c:ext xmlns:c16="http://schemas.microsoft.com/office/drawing/2014/chart" uri="{C3380CC4-5D6E-409C-BE32-E72D297353CC}">
              <c16:uniqueId val="{00000001-AB48-4142-A232-DE2B5D455978}"/>
            </c:ext>
          </c:extLst>
        </c:ser>
        <c:dLbls>
          <c:showLegendKey val="0"/>
          <c:showVal val="0"/>
          <c:showCatName val="0"/>
          <c:showSerName val="0"/>
          <c:showPercent val="0"/>
          <c:showBubbleSize val="0"/>
        </c:dLbls>
        <c:marker val="1"/>
        <c:smooth val="0"/>
        <c:axId val="1287707599"/>
        <c:axId val="1287706159"/>
      </c:lineChart>
      <c:catAx>
        <c:axId val="1287560799"/>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7564639"/>
        <c:crosses val="autoZero"/>
        <c:auto val="1"/>
        <c:lblAlgn val="ctr"/>
        <c:lblOffset val="100"/>
        <c:noMultiLvlLbl val="0"/>
      </c:catAx>
      <c:valAx>
        <c:axId val="128756463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7560799"/>
        <c:crosses val="autoZero"/>
        <c:crossBetween val="between"/>
      </c:valAx>
      <c:valAx>
        <c:axId val="1287706159"/>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7707599"/>
        <c:crosses val="max"/>
        <c:crossBetween val="between"/>
      </c:valAx>
      <c:catAx>
        <c:axId val="1287707599"/>
        <c:scaling>
          <c:orientation val="minMax"/>
        </c:scaling>
        <c:delete val="1"/>
        <c:axPos val="b"/>
        <c:numFmt formatCode="General" sourceLinked="1"/>
        <c:majorTickMark val="none"/>
        <c:minorTickMark val="none"/>
        <c:tickLblPos val="nextTo"/>
        <c:crossAx val="1287706159"/>
        <c:crosses val="autoZero"/>
        <c:auto val="1"/>
        <c:lblAlgn val="ctr"/>
        <c:lblOffset val="100"/>
        <c:noMultiLvlLbl val="0"/>
      </c:cat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DASHBOARD.xlsm]Pivot!PivotTable2</c:name>
    <c:fmtId val="9"/>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291509186351706"/>
          <c:y val="0.1267429244033125"/>
          <c:w val="0.37737685914260716"/>
          <c:h val="0.6907037586485264"/>
        </c:manualLayout>
      </c:layout>
      <c:barChart>
        <c:barDir val="bar"/>
        <c:grouping val="clustered"/>
        <c:varyColors val="0"/>
        <c:ser>
          <c:idx val="0"/>
          <c:order val="0"/>
          <c:tx>
            <c:strRef>
              <c:f>Pivot!$B$17:$B$18</c:f>
              <c:strCache>
                <c:ptCount val="1"/>
                <c:pt idx="0">
                  <c:v>Available</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Pivot!$A$19:$A$22</c:f>
              <c:strCache>
                <c:ptCount val="3"/>
                <c:pt idx="0">
                  <c:v>cosmetics</c:v>
                </c:pt>
                <c:pt idx="1">
                  <c:v>haircare</c:v>
                </c:pt>
                <c:pt idx="2">
                  <c:v>skincare</c:v>
                </c:pt>
              </c:strCache>
            </c:strRef>
          </c:cat>
          <c:val>
            <c:numRef>
              <c:f>Pivot!$B$19:$B$22</c:f>
              <c:numCache>
                <c:formatCode>General</c:formatCode>
                <c:ptCount val="3"/>
                <c:pt idx="0">
                  <c:v>9672</c:v>
                </c:pt>
                <c:pt idx="1">
                  <c:v>10655</c:v>
                </c:pt>
                <c:pt idx="2">
                  <c:v>13204</c:v>
                </c:pt>
              </c:numCache>
            </c:numRef>
          </c:val>
          <c:extLst>
            <c:ext xmlns:c16="http://schemas.microsoft.com/office/drawing/2014/chart" uri="{C3380CC4-5D6E-409C-BE32-E72D297353CC}">
              <c16:uniqueId val="{00000000-DB35-4F29-B1BE-7943C850FE62}"/>
            </c:ext>
          </c:extLst>
        </c:ser>
        <c:ser>
          <c:idx val="1"/>
          <c:order val="1"/>
          <c:tx>
            <c:strRef>
              <c:f>Pivot!$C$17:$C$18</c:f>
              <c:strCache>
                <c:ptCount val="1"/>
                <c:pt idx="0">
                  <c:v>Low Stock</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Pivot!$A$19:$A$22</c:f>
              <c:strCache>
                <c:ptCount val="3"/>
                <c:pt idx="0">
                  <c:v>cosmetics</c:v>
                </c:pt>
                <c:pt idx="1">
                  <c:v>haircare</c:v>
                </c:pt>
                <c:pt idx="2">
                  <c:v>skincare</c:v>
                </c:pt>
              </c:strCache>
            </c:strRef>
          </c:cat>
          <c:val>
            <c:numRef>
              <c:f>Pivot!$C$19:$C$22</c:f>
              <c:numCache>
                <c:formatCode>General</c:formatCode>
                <c:ptCount val="3"/>
                <c:pt idx="0">
                  <c:v>2085</c:v>
                </c:pt>
                <c:pt idx="1">
                  <c:v>2956</c:v>
                </c:pt>
                <c:pt idx="2">
                  <c:v>7527</c:v>
                </c:pt>
              </c:numCache>
            </c:numRef>
          </c:val>
          <c:extLst>
            <c:ext xmlns:c16="http://schemas.microsoft.com/office/drawing/2014/chart" uri="{C3380CC4-5D6E-409C-BE32-E72D297353CC}">
              <c16:uniqueId val="{00000001-DB35-4F29-B1BE-7943C850FE62}"/>
            </c:ext>
          </c:extLst>
        </c:ser>
        <c:dLbls>
          <c:showLegendKey val="0"/>
          <c:showVal val="0"/>
          <c:showCatName val="0"/>
          <c:showSerName val="0"/>
          <c:showPercent val="0"/>
          <c:showBubbleSize val="0"/>
        </c:dLbls>
        <c:gapWidth val="115"/>
        <c:overlap val="-20"/>
        <c:axId val="1776760799"/>
        <c:axId val="1776761279"/>
      </c:barChart>
      <c:valAx>
        <c:axId val="177676127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Inventory status</a:t>
                </a:r>
              </a:p>
            </c:rich>
          </c:tx>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6760799"/>
        <c:crosses val="autoZero"/>
        <c:crossBetween val="between"/>
      </c:valAx>
      <c:catAx>
        <c:axId val="1776760799"/>
        <c:scaling>
          <c:orientation val="minMax"/>
        </c:scaling>
        <c:delete val="0"/>
        <c:axPos val="l"/>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IN"/>
                  <a:t>Product type</a:t>
                </a:r>
              </a:p>
            </c:rich>
          </c:tx>
          <c:layout>
            <c:manualLayout>
              <c:xMode val="edge"/>
              <c:yMode val="edge"/>
              <c:x val="0.13262848554187137"/>
              <c:y val="0.19310907392614568"/>
            </c:manualLayout>
          </c:layout>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6761279"/>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DASHBOARD.xlsm]Pivot!PivotTable3</c:name>
    <c:fmtId val="1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Pivot!$B$35:$B$36</c:f>
              <c:strCache>
                <c:ptCount val="1"/>
                <c:pt idx="0">
                  <c:v>cosmetics</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Pivot!$A$37:$A$41</c:f>
              <c:strCache>
                <c:ptCount val="4"/>
                <c:pt idx="0">
                  <c:v>Female</c:v>
                </c:pt>
                <c:pt idx="1">
                  <c:v>Male</c:v>
                </c:pt>
                <c:pt idx="2">
                  <c:v>Non-binary</c:v>
                </c:pt>
                <c:pt idx="3">
                  <c:v>Unknown</c:v>
                </c:pt>
              </c:strCache>
            </c:strRef>
          </c:cat>
          <c:val>
            <c:numRef>
              <c:f>Pivot!$B$37:$B$41</c:f>
              <c:numCache>
                <c:formatCode>General</c:formatCode>
                <c:ptCount val="4"/>
                <c:pt idx="0">
                  <c:v>533</c:v>
                </c:pt>
                <c:pt idx="1">
                  <c:v>246</c:v>
                </c:pt>
                <c:pt idx="2">
                  <c:v>318</c:v>
                </c:pt>
                <c:pt idx="3">
                  <c:v>246</c:v>
                </c:pt>
              </c:numCache>
            </c:numRef>
          </c:val>
          <c:extLst>
            <c:ext xmlns:c16="http://schemas.microsoft.com/office/drawing/2014/chart" uri="{C3380CC4-5D6E-409C-BE32-E72D297353CC}">
              <c16:uniqueId val="{00000000-D1CE-47AB-B320-36AA48CA357D}"/>
            </c:ext>
          </c:extLst>
        </c:ser>
        <c:ser>
          <c:idx val="1"/>
          <c:order val="1"/>
          <c:tx>
            <c:strRef>
              <c:f>Pivot!$C$35:$C$36</c:f>
              <c:strCache>
                <c:ptCount val="1"/>
                <c:pt idx="0">
                  <c:v>haircare</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Pivot!$A$37:$A$41</c:f>
              <c:strCache>
                <c:ptCount val="4"/>
                <c:pt idx="0">
                  <c:v>Female</c:v>
                </c:pt>
                <c:pt idx="1">
                  <c:v>Male</c:v>
                </c:pt>
                <c:pt idx="2">
                  <c:v>Non-binary</c:v>
                </c:pt>
                <c:pt idx="3">
                  <c:v>Unknown</c:v>
                </c:pt>
              </c:strCache>
            </c:strRef>
          </c:cat>
          <c:val>
            <c:numRef>
              <c:f>Pivot!$C$37:$C$41</c:f>
              <c:numCache>
                <c:formatCode>General</c:formatCode>
                <c:ptCount val="4"/>
                <c:pt idx="0">
                  <c:v>23</c:v>
                </c:pt>
                <c:pt idx="1">
                  <c:v>333</c:v>
                </c:pt>
                <c:pt idx="2">
                  <c:v>316</c:v>
                </c:pt>
                <c:pt idx="3">
                  <c:v>808</c:v>
                </c:pt>
              </c:numCache>
            </c:numRef>
          </c:val>
          <c:extLst>
            <c:ext xmlns:c16="http://schemas.microsoft.com/office/drawing/2014/chart" uri="{C3380CC4-5D6E-409C-BE32-E72D297353CC}">
              <c16:uniqueId val="{00000001-D1CE-47AB-B320-36AA48CA357D}"/>
            </c:ext>
          </c:extLst>
        </c:ser>
        <c:ser>
          <c:idx val="2"/>
          <c:order val="2"/>
          <c:tx>
            <c:strRef>
              <c:f>Pivot!$D$35:$D$36</c:f>
              <c:strCache>
                <c:ptCount val="1"/>
                <c:pt idx="0">
                  <c:v>skincare</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Pivot!$A$37:$A$41</c:f>
              <c:strCache>
                <c:ptCount val="4"/>
                <c:pt idx="0">
                  <c:v>Female</c:v>
                </c:pt>
                <c:pt idx="1">
                  <c:v>Male</c:v>
                </c:pt>
                <c:pt idx="2">
                  <c:v>Non-binary</c:v>
                </c:pt>
                <c:pt idx="3">
                  <c:v>Unknown</c:v>
                </c:pt>
              </c:strCache>
            </c:strRef>
          </c:cat>
          <c:val>
            <c:numRef>
              <c:f>Pivot!$D$37:$D$41</c:f>
              <c:numCache>
                <c:formatCode>General</c:formatCode>
                <c:ptCount val="4"/>
                <c:pt idx="0">
                  <c:v>585</c:v>
                </c:pt>
                <c:pt idx="1">
                  <c:v>320</c:v>
                </c:pt>
                <c:pt idx="2">
                  <c:v>658</c:v>
                </c:pt>
                <c:pt idx="3">
                  <c:v>536</c:v>
                </c:pt>
              </c:numCache>
            </c:numRef>
          </c:val>
          <c:extLst>
            <c:ext xmlns:c16="http://schemas.microsoft.com/office/drawing/2014/chart" uri="{C3380CC4-5D6E-409C-BE32-E72D297353CC}">
              <c16:uniqueId val="{00000002-D1CE-47AB-B320-36AA48CA357D}"/>
            </c:ext>
          </c:extLst>
        </c:ser>
        <c:dLbls>
          <c:showLegendKey val="0"/>
          <c:showVal val="0"/>
          <c:showCatName val="0"/>
          <c:showSerName val="0"/>
          <c:showPercent val="0"/>
          <c:showBubbleSize val="0"/>
        </c:dLbls>
        <c:gapWidth val="100"/>
        <c:overlap val="-24"/>
        <c:axId val="1782658575"/>
        <c:axId val="1782649935"/>
      </c:barChart>
      <c:catAx>
        <c:axId val="1782658575"/>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2649935"/>
        <c:crosses val="autoZero"/>
        <c:auto val="1"/>
        <c:lblAlgn val="ctr"/>
        <c:lblOffset val="100"/>
        <c:noMultiLvlLbl val="0"/>
      </c:catAx>
      <c:valAx>
        <c:axId val="17826499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2658575"/>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DASHBOARD.xlsm]Pivot!PivotTable4</c:name>
    <c:fmtId val="6"/>
  </c:pivotSource>
  <c:chart>
    <c:autoTitleDeleted val="1"/>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2225" cap="rnd" cmpd="sng" algn="ctr">
            <a:solidFill>
              <a:schemeClr val="accent1"/>
            </a:solidFill>
            <a:round/>
          </a:ln>
          <a:effectLst/>
        </c:spPr>
        <c:marker>
          <c:symbol val="circle"/>
          <c:size val="4"/>
          <c:spPr>
            <a:solidFill>
              <a:schemeClr val="accent2"/>
            </a:solidFill>
            <a:ln w="9525" cap="flat" cmpd="sng" algn="ctr">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2225" cap="rnd" cmpd="sng" algn="ctr">
            <a:solidFill>
              <a:schemeClr val="accent1"/>
            </a:solidFill>
            <a:round/>
          </a:ln>
          <a:effectLst/>
        </c:spPr>
        <c:marker>
          <c:symbol val="circle"/>
          <c:size val="4"/>
          <c:spPr>
            <a:solidFill>
              <a:schemeClr val="accent3"/>
            </a:solidFill>
            <a:ln w="9525" cap="flat" cmpd="sng" algn="ctr">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2225" cap="rnd" cmpd="sng" algn="ctr">
            <a:solidFill>
              <a:schemeClr val="accent1"/>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Pivot!$B$53:$B$54</c:f>
              <c:strCache>
                <c:ptCount val="1"/>
                <c:pt idx="0">
                  <c:v>Air</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strRef>
              <c:f>Pivot!$A$55:$A$58</c:f>
              <c:strCache>
                <c:ptCount val="3"/>
                <c:pt idx="0">
                  <c:v>cosmetics</c:v>
                </c:pt>
                <c:pt idx="1">
                  <c:v>haircare</c:v>
                </c:pt>
                <c:pt idx="2">
                  <c:v>skincare</c:v>
                </c:pt>
              </c:strCache>
            </c:strRef>
          </c:cat>
          <c:val>
            <c:numRef>
              <c:f>Pivot!$B$55:$B$58</c:f>
              <c:numCache>
                <c:formatCode>General</c:formatCode>
                <c:ptCount val="3"/>
                <c:pt idx="0">
                  <c:v>2310</c:v>
                </c:pt>
                <c:pt idx="1">
                  <c:v>2534</c:v>
                </c:pt>
                <c:pt idx="2">
                  <c:v>6038</c:v>
                </c:pt>
              </c:numCache>
            </c:numRef>
          </c:val>
          <c:smooth val="0"/>
          <c:extLst>
            <c:ext xmlns:c16="http://schemas.microsoft.com/office/drawing/2014/chart" uri="{C3380CC4-5D6E-409C-BE32-E72D297353CC}">
              <c16:uniqueId val="{00000000-899A-4445-960A-F846E952CEBA}"/>
            </c:ext>
          </c:extLst>
        </c:ser>
        <c:ser>
          <c:idx val="1"/>
          <c:order val="1"/>
          <c:tx>
            <c:strRef>
              <c:f>Pivot!$C$53:$C$54</c:f>
              <c:strCache>
                <c:ptCount val="1"/>
                <c:pt idx="0">
                  <c:v>Rail</c:v>
                </c:pt>
              </c:strCache>
            </c:strRef>
          </c:tx>
          <c:spPr>
            <a:ln w="22225" cap="rnd" cmpd="sng" algn="ctr">
              <a:solidFill>
                <a:schemeClr val="accent2"/>
              </a:solidFill>
              <a:round/>
            </a:ln>
            <a:effectLst/>
          </c:spPr>
          <c:marker>
            <c:symbol val="circle"/>
            <c:size val="4"/>
            <c:spPr>
              <a:solidFill>
                <a:schemeClr val="accent2"/>
              </a:solidFill>
              <a:ln w="9525" cap="flat" cmpd="sng" algn="ctr">
                <a:solidFill>
                  <a:schemeClr val="accent2"/>
                </a:solidFill>
                <a:round/>
              </a:ln>
              <a:effectLst/>
            </c:spPr>
          </c:marker>
          <c:cat>
            <c:strRef>
              <c:f>Pivot!$A$55:$A$58</c:f>
              <c:strCache>
                <c:ptCount val="3"/>
                <c:pt idx="0">
                  <c:v>cosmetics</c:v>
                </c:pt>
                <c:pt idx="1">
                  <c:v>haircare</c:v>
                </c:pt>
                <c:pt idx="2">
                  <c:v>skincare</c:v>
                </c:pt>
              </c:strCache>
            </c:strRef>
          </c:cat>
          <c:val>
            <c:numRef>
              <c:f>Pivot!$C$55:$C$58</c:f>
              <c:numCache>
                <c:formatCode>General</c:formatCode>
                <c:ptCount val="3"/>
                <c:pt idx="0">
                  <c:v>4833</c:v>
                </c:pt>
                <c:pt idx="1">
                  <c:v>4226</c:v>
                </c:pt>
                <c:pt idx="2">
                  <c:v>4434</c:v>
                </c:pt>
              </c:numCache>
            </c:numRef>
          </c:val>
          <c:smooth val="0"/>
          <c:extLst>
            <c:ext xmlns:c16="http://schemas.microsoft.com/office/drawing/2014/chart" uri="{C3380CC4-5D6E-409C-BE32-E72D297353CC}">
              <c16:uniqueId val="{00000001-899A-4445-960A-F846E952CEBA}"/>
            </c:ext>
          </c:extLst>
        </c:ser>
        <c:ser>
          <c:idx val="2"/>
          <c:order val="2"/>
          <c:tx>
            <c:strRef>
              <c:f>Pivot!$D$53:$D$54</c:f>
              <c:strCache>
                <c:ptCount val="1"/>
                <c:pt idx="0">
                  <c:v>Road</c:v>
                </c:pt>
              </c:strCache>
            </c:strRef>
          </c:tx>
          <c:spPr>
            <a:ln w="22225" cap="rnd" cmpd="sng" algn="ctr">
              <a:solidFill>
                <a:schemeClr val="accent3"/>
              </a:solidFill>
              <a:round/>
            </a:ln>
            <a:effectLst/>
          </c:spPr>
          <c:marker>
            <c:symbol val="circle"/>
            <c:size val="4"/>
            <c:spPr>
              <a:solidFill>
                <a:schemeClr val="accent3"/>
              </a:solidFill>
              <a:ln w="9525" cap="flat" cmpd="sng" algn="ctr">
                <a:solidFill>
                  <a:schemeClr val="accent3"/>
                </a:solidFill>
                <a:round/>
              </a:ln>
              <a:effectLst/>
            </c:spPr>
          </c:marker>
          <c:cat>
            <c:strRef>
              <c:f>Pivot!$A$55:$A$58</c:f>
              <c:strCache>
                <c:ptCount val="3"/>
                <c:pt idx="0">
                  <c:v>cosmetics</c:v>
                </c:pt>
                <c:pt idx="1">
                  <c:v>haircare</c:v>
                </c:pt>
                <c:pt idx="2">
                  <c:v>skincare</c:v>
                </c:pt>
              </c:strCache>
            </c:strRef>
          </c:cat>
          <c:val>
            <c:numRef>
              <c:f>Pivot!$D$55:$D$58</c:f>
              <c:numCache>
                <c:formatCode>General</c:formatCode>
                <c:ptCount val="3"/>
                <c:pt idx="0">
                  <c:v>2040</c:v>
                </c:pt>
                <c:pt idx="1">
                  <c:v>4505</c:v>
                </c:pt>
                <c:pt idx="2">
                  <c:v>6575</c:v>
                </c:pt>
              </c:numCache>
            </c:numRef>
          </c:val>
          <c:smooth val="0"/>
          <c:extLst>
            <c:ext xmlns:c16="http://schemas.microsoft.com/office/drawing/2014/chart" uri="{C3380CC4-5D6E-409C-BE32-E72D297353CC}">
              <c16:uniqueId val="{00000002-899A-4445-960A-F846E952CEBA}"/>
            </c:ext>
          </c:extLst>
        </c:ser>
        <c:ser>
          <c:idx val="3"/>
          <c:order val="3"/>
          <c:tx>
            <c:strRef>
              <c:f>Pivot!$E$53:$E$54</c:f>
              <c:strCache>
                <c:ptCount val="1"/>
                <c:pt idx="0">
                  <c:v>Sea</c:v>
                </c:pt>
              </c:strCache>
            </c:strRef>
          </c:tx>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cat>
            <c:strRef>
              <c:f>Pivot!$A$55:$A$58</c:f>
              <c:strCache>
                <c:ptCount val="3"/>
                <c:pt idx="0">
                  <c:v>cosmetics</c:v>
                </c:pt>
                <c:pt idx="1">
                  <c:v>haircare</c:v>
                </c:pt>
                <c:pt idx="2">
                  <c:v>skincare</c:v>
                </c:pt>
              </c:strCache>
            </c:strRef>
          </c:cat>
          <c:val>
            <c:numRef>
              <c:f>Pivot!$E$55:$E$58</c:f>
              <c:numCache>
                <c:formatCode>General</c:formatCode>
                <c:ptCount val="3"/>
                <c:pt idx="0">
                  <c:v>2574</c:v>
                </c:pt>
                <c:pt idx="1">
                  <c:v>2346</c:v>
                </c:pt>
                <c:pt idx="2">
                  <c:v>3684</c:v>
                </c:pt>
              </c:numCache>
            </c:numRef>
          </c:val>
          <c:smooth val="0"/>
          <c:extLst>
            <c:ext xmlns:c16="http://schemas.microsoft.com/office/drawing/2014/chart" uri="{C3380CC4-5D6E-409C-BE32-E72D297353CC}">
              <c16:uniqueId val="{00000003-899A-4445-960A-F846E952CEBA}"/>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1782630735"/>
        <c:axId val="1782631215"/>
      </c:lineChart>
      <c:catAx>
        <c:axId val="1782630735"/>
        <c:scaling>
          <c:orientation val="minMax"/>
        </c:scaling>
        <c:delete val="0"/>
        <c:axPos val="b"/>
        <c:title>
          <c:tx>
            <c:rich>
              <a:bodyPr rot="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r>
                  <a:rPr lang="en-IN"/>
                  <a:t>Product</a:t>
                </a:r>
                <a:r>
                  <a:rPr lang="en-IN" baseline="0"/>
                  <a:t> type</a:t>
                </a:r>
                <a:endParaRPr lang="en-IN"/>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782631215"/>
        <c:crosses val="autoZero"/>
        <c:auto val="1"/>
        <c:lblAlgn val="ctr"/>
        <c:lblOffset val="100"/>
        <c:noMultiLvlLbl val="0"/>
      </c:catAx>
      <c:valAx>
        <c:axId val="1782631215"/>
        <c:scaling>
          <c:orientation val="minMax"/>
        </c:scaling>
        <c:delete val="0"/>
        <c:axPos val="l"/>
        <c:majorGridlines>
          <c:spPr>
            <a:ln>
              <a:solidFill>
                <a:schemeClr val="dk1">
                  <a:lumMod val="15000"/>
                  <a:lumOff val="85000"/>
                </a:schemeClr>
              </a:solidFill>
            </a:ln>
            <a:effectLst/>
          </c:spPr>
        </c:majorGridlines>
        <c:title>
          <c:tx>
            <c:rich>
              <a:bodyPr rot="-540000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r>
                  <a:rPr lang="en-IN"/>
                  <a:t>products</a:t>
                </a:r>
                <a:r>
                  <a:rPr lang="en-IN" baseline="0"/>
                  <a:t> sold</a:t>
                </a:r>
                <a:endParaRPr lang="en-IN"/>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dk1">
                      <a:lumMod val="65000"/>
                      <a:lumOff val="35000"/>
                    </a:schemeClr>
                  </a:solidFill>
                  <a:latin typeface="+mn-lt"/>
                  <a:ea typeface="+mn-ea"/>
                  <a:cs typeface="+mn-cs"/>
                </a:defRPr>
              </a:pPr>
              <a:endParaRPr lang="en-IN"/>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1782630735"/>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DASHBOARD.xlsm]Pivot!PivotTable5</c:name>
    <c:fmtId val="4"/>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PRODUCT TYPE BY SHIPPING CARRIES</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1"/>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2"/>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3"/>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4"/>
      </c:pivotFmt>
      <c:pivotFmt>
        <c:idx val="5"/>
      </c:pivotFmt>
      <c:pivotFmt>
        <c:idx val="6"/>
      </c:pivotFmt>
      <c:pivotFmt>
        <c:idx val="7"/>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8"/>
      </c:pivotFmt>
      <c:pivotFmt>
        <c:idx val="9"/>
      </c:pivotFmt>
      <c:pivotFmt>
        <c:idx val="10"/>
      </c:pivotFmt>
      <c:pivotFmt>
        <c:idx val="11"/>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12"/>
      </c:pivotFmt>
      <c:pivotFmt>
        <c:idx val="13"/>
      </c:pivotFmt>
      <c:pivotFmt>
        <c:idx val="14"/>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pivotFmt>
    </c:pivotFmts>
    <c:plotArea>
      <c:layout/>
      <c:pieChart>
        <c:varyColors val="1"/>
        <c:ser>
          <c:idx val="0"/>
          <c:order val="0"/>
          <c:tx>
            <c:strRef>
              <c:f>Pivot!$B$70:$B$71</c:f>
              <c:strCache>
                <c:ptCount val="1"/>
                <c:pt idx="0">
                  <c:v>Carrier A</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1A2F-488A-AF1B-B0B264F1641B}"/>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1A2F-488A-AF1B-B0B264F1641B}"/>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1A2F-488A-AF1B-B0B264F1641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Pivot!$A$72:$A$75</c:f>
              <c:strCache>
                <c:ptCount val="3"/>
                <c:pt idx="0">
                  <c:v>cosmetics</c:v>
                </c:pt>
                <c:pt idx="1">
                  <c:v>haircare</c:v>
                </c:pt>
                <c:pt idx="2">
                  <c:v>skincare</c:v>
                </c:pt>
              </c:strCache>
            </c:strRef>
          </c:cat>
          <c:val>
            <c:numRef>
              <c:f>Pivot!$B$72:$B$75</c:f>
              <c:numCache>
                <c:formatCode>General</c:formatCode>
                <c:ptCount val="3"/>
                <c:pt idx="0">
                  <c:v>2876</c:v>
                </c:pt>
                <c:pt idx="1">
                  <c:v>3979</c:v>
                </c:pt>
                <c:pt idx="2">
                  <c:v>8226</c:v>
                </c:pt>
              </c:numCache>
            </c:numRef>
          </c:val>
          <c:extLst>
            <c:ext xmlns:c16="http://schemas.microsoft.com/office/drawing/2014/chart" uri="{C3380CC4-5D6E-409C-BE32-E72D297353CC}">
              <c16:uniqueId val="{00000006-1A2F-488A-AF1B-B0B264F1641B}"/>
            </c:ext>
          </c:extLst>
        </c:ser>
        <c:ser>
          <c:idx val="1"/>
          <c:order val="1"/>
          <c:tx>
            <c:strRef>
              <c:f>Pivot!$C$70:$C$71</c:f>
              <c:strCache>
                <c:ptCount val="1"/>
                <c:pt idx="0">
                  <c:v>Carrier B</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8-1A2F-488A-AF1B-B0B264F1641B}"/>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A-1A2F-488A-AF1B-B0B264F1641B}"/>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C-1A2F-488A-AF1B-B0B264F1641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Pivot!$A$72:$A$75</c:f>
              <c:strCache>
                <c:ptCount val="3"/>
                <c:pt idx="0">
                  <c:v>cosmetics</c:v>
                </c:pt>
                <c:pt idx="1">
                  <c:v>haircare</c:v>
                </c:pt>
                <c:pt idx="2">
                  <c:v>skincare</c:v>
                </c:pt>
              </c:strCache>
            </c:strRef>
          </c:cat>
          <c:val>
            <c:numRef>
              <c:f>Pivot!$C$72:$C$75</c:f>
              <c:numCache>
                <c:formatCode>General</c:formatCode>
                <c:ptCount val="3"/>
                <c:pt idx="0">
                  <c:v>5551</c:v>
                </c:pt>
                <c:pt idx="1">
                  <c:v>8401</c:v>
                </c:pt>
                <c:pt idx="2">
                  <c:v>6937</c:v>
                </c:pt>
              </c:numCache>
            </c:numRef>
          </c:val>
          <c:extLst>
            <c:ext xmlns:c16="http://schemas.microsoft.com/office/drawing/2014/chart" uri="{C3380CC4-5D6E-409C-BE32-E72D297353CC}">
              <c16:uniqueId val="{0000000D-1A2F-488A-AF1B-B0B264F1641B}"/>
            </c:ext>
          </c:extLst>
        </c:ser>
        <c:ser>
          <c:idx val="2"/>
          <c:order val="2"/>
          <c:tx>
            <c:strRef>
              <c:f>Pivot!$D$70:$D$71</c:f>
              <c:strCache>
                <c:ptCount val="1"/>
                <c:pt idx="0">
                  <c:v>Carrier C</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D-1D2C-4DF3-8275-C8CB9EFBEDA3}"/>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F-1D2C-4DF3-8275-C8CB9EFBEDA3}"/>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11-1D2C-4DF3-8275-C8CB9EFBEDA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Pivot!$A$72:$A$75</c:f>
              <c:strCache>
                <c:ptCount val="3"/>
                <c:pt idx="0">
                  <c:v>cosmetics</c:v>
                </c:pt>
                <c:pt idx="1">
                  <c:v>haircare</c:v>
                </c:pt>
                <c:pt idx="2">
                  <c:v>skincare</c:v>
                </c:pt>
              </c:strCache>
            </c:strRef>
          </c:cat>
          <c:val>
            <c:numRef>
              <c:f>Pivot!$D$72:$D$75</c:f>
              <c:numCache>
                <c:formatCode>General</c:formatCode>
                <c:ptCount val="3"/>
                <c:pt idx="0">
                  <c:v>3330</c:v>
                </c:pt>
                <c:pt idx="1">
                  <c:v>1231</c:v>
                </c:pt>
                <c:pt idx="2">
                  <c:v>5568</c:v>
                </c:pt>
              </c:numCache>
            </c:numRef>
          </c:val>
          <c:extLst>
            <c:ext xmlns:c16="http://schemas.microsoft.com/office/drawing/2014/chart" uri="{C3380CC4-5D6E-409C-BE32-E72D297353CC}">
              <c16:uniqueId val="{00000017-1A2F-488A-AF1B-B0B264F1641B}"/>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8.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344">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4</xdr:col>
      <xdr:colOff>30480</xdr:colOff>
      <xdr:row>0</xdr:row>
      <xdr:rowOff>0</xdr:rowOff>
    </xdr:from>
    <xdr:to>
      <xdr:col>11</xdr:col>
      <xdr:colOff>281940</xdr:colOff>
      <xdr:row>14</xdr:row>
      <xdr:rowOff>15240</xdr:rowOff>
    </xdr:to>
    <xdr:graphicFrame macro="">
      <xdr:nvGraphicFramePr>
        <xdr:cNvPr id="2" name="Chart 1">
          <a:extLst>
            <a:ext uri="{FF2B5EF4-FFF2-40B4-BE49-F238E27FC236}">
              <a16:creationId xmlns:a16="http://schemas.microsoft.com/office/drawing/2014/main" id="{18E1FF03-967E-4F1C-4ADC-FBB9EABFB3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480060</xdr:colOff>
      <xdr:row>16</xdr:row>
      <xdr:rowOff>19050</xdr:rowOff>
    </xdr:from>
    <xdr:to>
      <xdr:col>11</xdr:col>
      <xdr:colOff>45720</xdr:colOff>
      <xdr:row>29</xdr:row>
      <xdr:rowOff>7620</xdr:rowOff>
    </xdr:to>
    <xdr:graphicFrame macro="">
      <xdr:nvGraphicFramePr>
        <xdr:cNvPr id="4" name="Chart 3">
          <a:extLst>
            <a:ext uri="{FF2B5EF4-FFF2-40B4-BE49-F238E27FC236}">
              <a16:creationId xmlns:a16="http://schemas.microsoft.com/office/drawing/2014/main" id="{4BEAB14E-8965-67EC-26EB-3D0385D8099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327660</xdr:colOff>
      <xdr:row>34</xdr:row>
      <xdr:rowOff>3810</xdr:rowOff>
    </xdr:from>
    <xdr:to>
      <xdr:col>11</xdr:col>
      <xdr:colOff>746760</xdr:colOff>
      <xdr:row>49</xdr:row>
      <xdr:rowOff>3810</xdr:rowOff>
    </xdr:to>
    <xdr:graphicFrame macro="">
      <xdr:nvGraphicFramePr>
        <xdr:cNvPr id="5" name="Chart 4">
          <a:extLst>
            <a:ext uri="{FF2B5EF4-FFF2-40B4-BE49-F238E27FC236}">
              <a16:creationId xmlns:a16="http://schemas.microsoft.com/office/drawing/2014/main" id="{0E43DC52-76DB-443F-9126-F30521DCACA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320040</xdr:colOff>
      <xdr:row>51</xdr:row>
      <xdr:rowOff>163830</xdr:rowOff>
    </xdr:from>
    <xdr:to>
      <xdr:col>12</xdr:col>
      <xdr:colOff>601980</xdr:colOff>
      <xdr:row>66</xdr:row>
      <xdr:rowOff>163830</xdr:rowOff>
    </xdr:to>
    <xdr:graphicFrame macro="">
      <xdr:nvGraphicFramePr>
        <xdr:cNvPr id="6" name="Chart 5">
          <a:extLst>
            <a:ext uri="{FF2B5EF4-FFF2-40B4-BE49-F238E27FC236}">
              <a16:creationId xmlns:a16="http://schemas.microsoft.com/office/drawing/2014/main" id="{798D6925-540E-D6FB-9ECD-ACD9A0AE22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152400</xdr:colOff>
      <xdr:row>69</xdr:row>
      <xdr:rowOff>3810</xdr:rowOff>
    </xdr:from>
    <xdr:to>
      <xdr:col>7</xdr:col>
      <xdr:colOff>1920240</xdr:colOff>
      <xdr:row>81</xdr:row>
      <xdr:rowOff>38100</xdr:rowOff>
    </xdr:to>
    <xdr:graphicFrame macro="">
      <xdr:nvGraphicFramePr>
        <xdr:cNvPr id="7" name="Chart 6">
          <a:extLst>
            <a:ext uri="{FF2B5EF4-FFF2-40B4-BE49-F238E27FC236}">
              <a16:creationId xmlns:a16="http://schemas.microsoft.com/office/drawing/2014/main" id="{1620FA65-1EAD-DBAE-EA71-0998BE3470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7</xdr:col>
      <xdr:colOff>1013460</xdr:colOff>
      <xdr:row>78</xdr:row>
      <xdr:rowOff>129540</xdr:rowOff>
    </xdr:from>
    <xdr:to>
      <xdr:col>8</xdr:col>
      <xdr:colOff>533400</xdr:colOff>
      <xdr:row>92</xdr:row>
      <xdr:rowOff>36195</xdr:rowOff>
    </xdr:to>
    <mc:AlternateContent xmlns:mc="http://schemas.openxmlformats.org/markup-compatibility/2006">
      <mc:Choice xmlns:a14="http://schemas.microsoft.com/office/drawing/2010/main" Requires="a14">
        <xdr:graphicFrame macro="">
          <xdr:nvGraphicFramePr>
            <xdr:cNvPr id="8" name="Product type">
              <a:extLst>
                <a:ext uri="{FF2B5EF4-FFF2-40B4-BE49-F238E27FC236}">
                  <a16:creationId xmlns:a16="http://schemas.microsoft.com/office/drawing/2014/main" id="{BB0E2A19-F084-2FE3-AE5F-5B2A49CB6062}"/>
                </a:ext>
              </a:extLst>
            </xdr:cNvPr>
            <xdr:cNvGraphicFramePr/>
          </xdr:nvGraphicFramePr>
          <xdr:xfrm>
            <a:off x="0" y="0"/>
            <a:ext cx="0" cy="0"/>
          </xdr:xfrm>
          <a:graphic>
            <a:graphicData uri="http://schemas.microsoft.com/office/drawing/2010/slicer">
              <sle:slicer xmlns:sle="http://schemas.microsoft.com/office/drawing/2010/slicer" name="Product type"/>
            </a:graphicData>
          </a:graphic>
        </xdr:graphicFrame>
      </mc:Choice>
      <mc:Fallback>
        <xdr:sp macro="" textlink="">
          <xdr:nvSpPr>
            <xdr:cNvPr id="0" name=""/>
            <xdr:cNvSpPr>
              <a:spLocks noTextEdit="1"/>
            </xdr:cNvSpPr>
          </xdr:nvSpPr>
          <xdr:spPr>
            <a:xfrm>
              <a:off x="8709660" y="1439418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1958340</xdr:colOff>
      <xdr:row>78</xdr:row>
      <xdr:rowOff>38100</xdr:rowOff>
    </xdr:from>
    <xdr:to>
      <xdr:col>7</xdr:col>
      <xdr:colOff>982980</xdr:colOff>
      <xdr:row>91</xdr:row>
      <xdr:rowOff>127635</xdr:rowOff>
    </xdr:to>
    <mc:AlternateContent xmlns:mc="http://schemas.openxmlformats.org/markup-compatibility/2006">
      <mc:Choice xmlns:a14="http://schemas.microsoft.com/office/drawing/2010/main" Requires="a14">
        <xdr:graphicFrame macro="">
          <xdr:nvGraphicFramePr>
            <xdr:cNvPr id="9" name="Customer demographics">
              <a:extLst>
                <a:ext uri="{FF2B5EF4-FFF2-40B4-BE49-F238E27FC236}">
                  <a16:creationId xmlns:a16="http://schemas.microsoft.com/office/drawing/2014/main" id="{F65A4347-0B1A-2932-100C-A54881325885}"/>
                </a:ext>
              </a:extLst>
            </xdr:cNvPr>
            <xdr:cNvGraphicFramePr/>
          </xdr:nvGraphicFramePr>
          <xdr:xfrm>
            <a:off x="0" y="0"/>
            <a:ext cx="0" cy="0"/>
          </xdr:xfrm>
          <a:graphic>
            <a:graphicData uri="http://schemas.microsoft.com/office/drawing/2010/slicer">
              <sle:slicer xmlns:sle="http://schemas.microsoft.com/office/drawing/2010/slicer" name="Customer demographics"/>
            </a:graphicData>
          </a:graphic>
        </xdr:graphicFrame>
      </mc:Choice>
      <mc:Fallback>
        <xdr:sp macro="" textlink="">
          <xdr:nvSpPr>
            <xdr:cNvPr id="0" name=""/>
            <xdr:cNvSpPr>
              <a:spLocks noTextEdit="1"/>
            </xdr:cNvSpPr>
          </xdr:nvSpPr>
          <xdr:spPr>
            <a:xfrm>
              <a:off x="6850380" y="1430274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15240</xdr:colOff>
      <xdr:row>78</xdr:row>
      <xdr:rowOff>45720</xdr:rowOff>
    </xdr:from>
    <xdr:to>
      <xdr:col>5</xdr:col>
      <xdr:colOff>1844040</xdr:colOff>
      <xdr:row>91</xdr:row>
      <xdr:rowOff>135255</xdr:rowOff>
    </xdr:to>
    <mc:AlternateContent xmlns:mc="http://schemas.openxmlformats.org/markup-compatibility/2006">
      <mc:Choice xmlns:a14="http://schemas.microsoft.com/office/drawing/2010/main" Requires="a14">
        <xdr:graphicFrame macro="">
          <xdr:nvGraphicFramePr>
            <xdr:cNvPr id="10" name="Transportation modes">
              <a:extLst>
                <a:ext uri="{FF2B5EF4-FFF2-40B4-BE49-F238E27FC236}">
                  <a16:creationId xmlns:a16="http://schemas.microsoft.com/office/drawing/2014/main" id="{820C5C6A-4430-C0CD-3BDD-1D5F747DB54F}"/>
                </a:ext>
              </a:extLst>
            </xdr:cNvPr>
            <xdr:cNvGraphicFramePr/>
          </xdr:nvGraphicFramePr>
          <xdr:xfrm>
            <a:off x="0" y="0"/>
            <a:ext cx="0" cy="0"/>
          </xdr:xfrm>
          <a:graphic>
            <a:graphicData uri="http://schemas.microsoft.com/office/drawing/2010/slicer">
              <sle:slicer xmlns:sle="http://schemas.microsoft.com/office/drawing/2010/slicer" name="Transportation modes"/>
            </a:graphicData>
          </a:graphic>
        </xdr:graphicFrame>
      </mc:Choice>
      <mc:Fallback>
        <xdr:sp macro="" textlink="">
          <xdr:nvSpPr>
            <xdr:cNvPr id="0" name=""/>
            <xdr:cNvSpPr>
              <a:spLocks noTextEdit="1"/>
            </xdr:cNvSpPr>
          </xdr:nvSpPr>
          <xdr:spPr>
            <a:xfrm>
              <a:off x="4907280" y="1431036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1043940</xdr:colOff>
      <xdr:row>78</xdr:row>
      <xdr:rowOff>0</xdr:rowOff>
    </xdr:from>
    <xdr:to>
      <xdr:col>4</xdr:col>
      <xdr:colOff>693420</xdr:colOff>
      <xdr:row>91</xdr:row>
      <xdr:rowOff>89535</xdr:rowOff>
    </xdr:to>
    <mc:AlternateContent xmlns:mc="http://schemas.openxmlformats.org/markup-compatibility/2006">
      <mc:Choice xmlns:a14="http://schemas.microsoft.com/office/drawing/2010/main" Requires="a14">
        <xdr:graphicFrame macro="">
          <xdr:nvGraphicFramePr>
            <xdr:cNvPr id="11" name="Inventory Status">
              <a:extLst>
                <a:ext uri="{FF2B5EF4-FFF2-40B4-BE49-F238E27FC236}">
                  <a16:creationId xmlns:a16="http://schemas.microsoft.com/office/drawing/2014/main" id="{8112191E-E05D-6129-92CF-5DC61FEC9FEB}"/>
                </a:ext>
              </a:extLst>
            </xdr:cNvPr>
            <xdr:cNvGraphicFramePr/>
          </xdr:nvGraphicFramePr>
          <xdr:xfrm>
            <a:off x="0" y="0"/>
            <a:ext cx="0" cy="0"/>
          </xdr:xfrm>
          <a:graphic>
            <a:graphicData uri="http://schemas.microsoft.com/office/drawing/2010/slicer">
              <sle:slicer xmlns:sle="http://schemas.microsoft.com/office/drawing/2010/slicer" name="Inventory Status"/>
            </a:graphicData>
          </a:graphic>
        </xdr:graphicFrame>
      </mc:Choice>
      <mc:Fallback>
        <xdr:sp macro="" textlink="">
          <xdr:nvSpPr>
            <xdr:cNvPr id="0" name=""/>
            <xdr:cNvSpPr>
              <a:spLocks noTextEdit="1"/>
            </xdr:cNvSpPr>
          </xdr:nvSpPr>
          <xdr:spPr>
            <a:xfrm>
              <a:off x="3017520" y="1426464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1013460</xdr:colOff>
      <xdr:row>78</xdr:row>
      <xdr:rowOff>53340</xdr:rowOff>
    </xdr:from>
    <xdr:to>
      <xdr:col>1</xdr:col>
      <xdr:colOff>868680</xdr:colOff>
      <xdr:row>91</xdr:row>
      <xdr:rowOff>142875</xdr:rowOff>
    </xdr:to>
    <mc:AlternateContent xmlns:mc="http://schemas.openxmlformats.org/markup-compatibility/2006">
      <mc:Choice xmlns:a14="http://schemas.microsoft.com/office/drawing/2010/main" Requires="a14">
        <xdr:graphicFrame macro="">
          <xdr:nvGraphicFramePr>
            <xdr:cNvPr id="12" name="Delivery Status">
              <a:extLst>
                <a:ext uri="{FF2B5EF4-FFF2-40B4-BE49-F238E27FC236}">
                  <a16:creationId xmlns:a16="http://schemas.microsoft.com/office/drawing/2014/main" id="{D9003B04-6373-ED74-127B-FE4CA28190C0}"/>
                </a:ext>
              </a:extLst>
            </xdr:cNvPr>
            <xdr:cNvGraphicFramePr/>
          </xdr:nvGraphicFramePr>
          <xdr:xfrm>
            <a:off x="0" y="0"/>
            <a:ext cx="0" cy="0"/>
          </xdr:xfrm>
          <a:graphic>
            <a:graphicData uri="http://schemas.microsoft.com/office/drawing/2010/slicer">
              <sle:slicer xmlns:sle="http://schemas.microsoft.com/office/drawing/2010/slicer" name="Delivery Status"/>
            </a:graphicData>
          </a:graphic>
        </xdr:graphicFrame>
      </mc:Choice>
      <mc:Fallback>
        <xdr:sp macro="" textlink="">
          <xdr:nvSpPr>
            <xdr:cNvPr id="0" name=""/>
            <xdr:cNvSpPr>
              <a:spLocks noTextEdit="1"/>
            </xdr:cNvSpPr>
          </xdr:nvSpPr>
          <xdr:spPr>
            <a:xfrm>
              <a:off x="1013460" y="1431798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161925</xdr:colOff>
      <xdr:row>18</xdr:row>
      <xdr:rowOff>114300</xdr:rowOff>
    </xdr:from>
    <xdr:to>
      <xdr:col>19</xdr:col>
      <xdr:colOff>600074</xdr:colOff>
      <xdr:row>35</xdr:row>
      <xdr:rowOff>28575</xdr:rowOff>
    </xdr:to>
    <xdr:graphicFrame macro="">
      <xdr:nvGraphicFramePr>
        <xdr:cNvPr id="2" name="Chart 1">
          <a:extLst>
            <a:ext uri="{FF2B5EF4-FFF2-40B4-BE49-F238E27FC236}">
              <a16:creationId xmlns:a16="http://schemas.microsoft.com/office/drawing/2014/main" id="{66548DB1-888D-4D87-BB01-959CEA5B11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342899</xdr:colOff>
      <xdr:row>3</xdr:row>
      <xdr:rowOff>13335</xdr:rowOff>
    </xdr:from>
    <xdr:to>
      <xdr:col>13</xdr:col>
      <xdr:colOff>180974</xdr:colOff>
      <xdr:row>18</xdr:row>
      <xdr:rowOff>114300</xdr:rowOff>
    </xdr:to>
    <xdr:graphicFrame macro="">
      <xdr:nvGraphicFramePr>
        <xdr:cNvPr id="3" name="Chart 2">
          <a:extLst>
            <a:ext uri="{FF2B5EF4-FFF2-40B4-BE49-F238E27FC236}">
              <a16:creationId xmlns:a16="http://schemas.microsoft.com/office/drawing/2014/main" id="{F450CFFC-5932-47E4-B30F-C6441FA1EF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241935</xdr:colOff>
      <xdr:row>18</xdr:row>
      <xdr:rowOff>114300</xdr:rowOff>
    </xdr:from>
    <xdr:to>
      <xdr:col>10</xdr:col>
      <xdr:colOff>161924</xdr:colOff>
      <xdr:row>35</xdr:row>
      <xdr:rowOff>28575</xdr:rowOff>
    </xdr:to>
    <xdr:graphicFrame macro="">
      <xdr:nvGraphicFramePr>
        <xdr:cNvPr id="4" name="Chart 3">
          <a:extLst>
            <a:ext uri="{FF2B5EF4-FFF2-40B4-BE49-F238E27FC236}">
              <a16:creationId xmlns:a16="http://schemas.microsoft.com/office/drawing/2014/main" id="{8EA880BE-C8E0-4DDF-B33B-A01C682EED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180975</xdr:colOff>
      <xdr:row>3</xdr:row>
      <xdr:rowOff>5715</xdr:rowOff>
    </xdr:from>
    <xdr:to>
      <xdr:col>20</xdr:col>
      <xdr:colOff>9524</xdr:colOff>
      <xdr:row>18</xdr:row>
      <xdr:rowOff>95250</xdr:rowOff>
    </xdr:to>
    <xdr:graphicFrame macro="">
      <xdr:nvGraphicFramePr>
        <xdr:cNvPr id="5" name="Chart 4">
          <a:extLst>
            <a:ext uri="{FF2B5EF4-FFF2-40B4-BE49-F238E27FC236}">
              <a16:creationId xmlns:a16="http://schemas.microsoft.com/office/drawing/2014/main" id="{FE379CBA-036D-4EC0-9D68-C8D8E5F0DA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247651</xdr:colOff>
      <xdr:row>3</xdr:row>
      <xdr:rowOff>9525</xdr:rowOff>
    </xdr:from>
    <xdr:to>
      <xdr:col>7</xdr:col>
      <xdr:colOff>342901</xdr:colOff>
      <xdr:row>18</xdr:row>
      <xdr:rowOff>114300</xdr:rowOff>
    </xdr:to>
    <xdr:graphicFrame macro="">
      <xdr:nvGraphicFramePr>
        <xdr:cNvPr id="6" name="Chart 5">
          <a:extLst>
            <a:ext uri="{FF2B5EF4-FFF2-40B4-BE49-F238E27FC236}">
              <a16:creationId xmlns:a16="http://schemas.microsoft.com/office/drawing/2014/main" id="{334E8696-481A-407D-A12A-8971C787E5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0</xdr:colOff>
      <xdr:row>30</xdr:row>
      <xdr:rowOff>45721</xdr:rowOff>
    </xdr:from>
    <xdr:to>
      <xdr:col>2</xdr:col>
      <xdr:colOff>243840</xdr:colOff>
      <xdr:row>35</xdr:row>
      <xdr:rowOff>38100</xdr:rowOff>
    </xdr:to>
    <mc:AlternateContent xmlns:mc="http://schemas.openxmlformats.org/markup-compatibility/2006" xmlns:a14="http://schemas.microsoft.com/office/drawing/2010/main">
      <mc:Choice Requires="a14">
        <xdr:graphicFrame macro="">
          <xdr:nvGraphicFramePr>
            <xdr:cNvPr id="8" name="Delivery Status 1">
              <a:extLst>
                <a:ext uri="{FF2B5EF4-FFF2-40B4-BE49-F238E27FC236}">
                  <a16:creationId xmlns:a16="http://schemas.microsoft.com/office/drawing/2014/main" id="{25D987B1-1AD4-4DC6-A6F9-12574B10FBC7}"/>
                </a:ext>
              </a:extLst>
            </xdr:cNvPr>
            <xdr:cNvGraphicFramePr/>
          </xdr:nvGraphicFramePr>
          <xdr:xfrm>
            <a:off x="0" y="0"/>
            <a:ext cx="0" cy="0"/>
          </xdr:xfrm>
          <a:graphic>
            <a:graphicData uri="http://schemas.microsoft.com/office/drawing/2010/slicer">
              <sle:slicer xmlns:sle="http://schemas.microsoft.com/office/drawing/2010/slicer" name="Delivery Status 1"/>
            </a:graphicData>
          </a:graphic>
        </xdr:graphicFrame>
      </mc:Choice>
      <mc:Fallback xmlns="">
        <xdr:sp macro="" textlink="">
          <xdr:nvSpPr>
            <xdr:cNvPr id="0" name=""/>
            <xdr:cNvSpPr>
              <a:spLocks noTextEdit="1"/>
            </xdr:cNvSpPr>
          </xdr:nvSpPr>
          <xdr:spPr>
            <a:xfrm>
              <a:off x="0" y="5474971"/>
              <a:ext cx="1463040" cy="89725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25</xdr:row>
      <xdr:rowOff>22861</xdr:rowOff>
    </xdr:from>
    <xdr:to>
      <xdr:col>2</xdr:col>
      <xdr:colOff>243840</xdr:colOff>
      <xdr:row>30</xdr:row>
      <xdr:rowOff>38100</xdr:rowOff>
    </xdr:to>
    <mc:AlternateContent xmlns:mc="http://schemas.openxmlformats.org/markup-compatibility/2006" xmlns:a14="http://schemas.microsoft.com/office/drawing/2010/main">
      <mc:Choice Requires="a14">
        <xdr:graphicFrame macro="">
          <xdr:nvGraphicFramePr>
            <xdr:cNvPr id="9" name="Inventory Status 1">
              <a:extLst>
                <a:ext uri="{FF2B5EF4-FFF2-40B4-BE49-F238E27FC236}">
                  <a16:creationId xmlns:a16="http://schemas.microsoft.com/office/drawing/2014/main" id="{3F00E47A-A423-49D2-AB00-9CC7AB266440}"/>
                </a:ext>
              </a:extLst>
            </xdr:cNvPr>
            <xdr:cNvGraphicFramePr/>
          </xdr:nvGraphicFramePr>
          <xdr:xfrm>
            <a:off x="0" y="0"/>
            <a:ext cx="0" cy="0"/>
          </xdr:xfrm>
          <a:graphic>
            <a:graphicData uri="http://schemas.microsoft.com/office/drawing/2010/slicer">
              <sle:slicer xmlns:sle="http://schemas.microsoft.com/office/drawing/2010/slicer" name="Inventory Status 1"/>
            </a:graphicData>
          </a:graphic>
        </xdr:graphicFrame>
      </mc:Choice>
      <mc:Fallback xmlns="">
        <xdr:sp macro="" textlink="">
          <xdr:nvSpPr>
            <xdr:cNvPr id="0" name=""/>
            <xdr:cNvSpPr>
              <a:spLocks noTextEdit="1"/>
            </xdr:cNvSpPr>
          </xdr:nvSpPr>
          <xdr:spPr>
            <a:xfrm>
              <a:off x="0" y="4547236"/>
              <a:ext cx="1463040" cy="92011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17</xdr:row>
      <xdr:rowOff>53340</xdr:rowOff>
    </xdr:from>
    <xdr:to>
      <xdr:col>2</xdr:col>
      <xdr:colOff>243840</xdr:colOff>
      <xdr:row>25</xdr:row>
      <xdr:rowOff>7619</xdr:rowOff>
    </xdr:to>
    <mc:AlternateContent xmlns:mc="http://schemas.openxmlformats.org/markup-compatibility/2006" xmlns:a14="http://schemas.microsoft.com/office/drawing/2010/main">
      <mc:Choice Requires="a14">
        <xdr:graphicFrame macro="">
          <xdr:nvGraphicFramePr>
            <xdr:cNvPr id="10" name="Transportation modes 1">
              <a:extLst>
                <a:ext uri="{FF2B5EF4-FFF2-40B4-BE49-F238E27FC236}">
                  <a16:creationId xmlns:a16="http://schemas.microsoft.com/office/drawing/2014/main" id="{4A3CFA58-EB0B-4568-957F-2FA4BCC03F12}"/>
                </a:ext>
              </a:extLst>
            </xdr:cNvPr>
            <xdr:cNvGraphicFramePr/>
          </xdr:nvGraphicFramePr>
          <xdr:xfrm>
            <a:off x="0" y="0"/>
            <a:ext cx="0" cy="0"/>
          </xdr:xfrm>
          <a:graphic>
            <a:graphicData uri="http://schemas.microsoft.com/office/drawing/2010/slicer">
              <sle:slicer xmlns:sle="http://schemas.microsoft.com/office/drawing/2010/slicer" name="Transportation modes 1"/>
            </a:graphicData>
          </a:graphic>
        </xdr:graphicFrame>
      </mc:Choice>
      <mc:Fallback xmlns="">
        <xdr:sp macro="" textlink="">
          <xdr:nvSpPr>
            <xdr:cNvPr id="0" name=""/>
            <xdr:cNvSpPr>
              <a:spLocks noTextEdit="1"/>
            </xdr:cNvSpPr>
          </xdr:nvSpPr>
          <xdr:spPr>
            <a:xfrm>
              <a:off x="0" y="3129915"/>
              <a:ext cx="1463040" cy="14020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9</xdr:row>
      <xdr:rowOff>83821</xdr:rowOff>
    </xdr:from>
    <xdr:to>
      <xdr:col>2</xdr:col>
      <xdr:colOff>243840</xdr:colOff>
      <xdr:row>17</xdr:row>
      <xdr:rowOff>38101</xdr:rowOff>
    </xdr:to>
    <mc:AlternateContent xmlns:mc="http://schemas.openxmlformats.org/markup-compatibility/2006" xmlns:a14="http://schemas.microsoft.com/office/drawing/2010/main">
      <mc:Choice Requires="a14">
        <xdr:graphicFrame macro="">
          <xdr:nvGraphicFramePr>
            <xdr:cNvPr id="11" name="Customer demographics 1">
              <a:extLst>
                <a:ext uri="{FF2B5EF4-FFF2-40B4-BE49-F238E27FC236}">
                  <a16:creationId xmlns:a16="http://schemas.microsoft.com/office/drawing/2014/main" id="{4124C7C6-0CF9-4F8C-B842-5328AB231280}"/>
                </a:ext>
              </a:extLst>
            </xdr:cNvPr>
            <xdr:cNvGraphicFramePr/>
          </xdr:nvGraphicFramePr>
          <xdr:xfrm>
            <a:off x="0" y="0"/>
            <a:ext cx="0" cy="0"/>
          </xdr:xfrm>
          <a:graphic>
            <a:graphicData uri="http://schemas.microsoft.com/office/drawing/2010/slicer">
              <sle:slicer xmlns:sle="http://schemas.microsoft.com/office/drawing/2010/slicer" name="Customer demographics 1"/>
            </a:graphicData>
          </a:graphic>
        </xdr:graphicFrame>
      </mc:Choice>
      <mc:Fallback xmlns="">
        <xdr:sp macro="" textlink="">
          <xdr:nvSpPr>
            <xdr:cNvPr id="0" name=""/>
            <xdr:cNvSpPr>
              <a:spLocks noTextEdit="1"/>
            </xdr:cNvSpPr>
          </xdr:nvSpPr>
          <xdr:spPr>
            <a:xfrm>
              <a:off x="0" y="1712596"/>
              <a:ext cx="1463040" cy="14020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3</xdr:row>
      <xdr:rowOff>7621</xdr:rowOff>
    </xdr:from>
    <xdr:to>
      <xdr:col>2</xdr:col>
      <xdr:colOff>243840</xdr:colOff>
      <xdr:row>9</xdr:row>
      <xdr:rowOff>68581</xdr:rowOff>
    </xdr:to>
    <mc:AlternateContent xmlns:mc="http://schemas.openxmlformats.org/markup-compatibility/2006" xmlns:a14="http://schemas.microsoft.com/office/drawing/2010/main">
      <mc:Choice Requires="a14">
        <xdr:graphicFrame macro="">
          <xdr:nvGraphicFramePr>
            <xdr:cNvPr id="12" name="Product type 1">
              <a:extLst>
                <a:ext uri="{FF2B5EF4-FFF2-40B4-BE49-F238E27FC236}">
                  <a16:creationId xmlns:a16="http://schemas.microsoft.com/office/drawing/2014/main" id="{48DBBA42-D1A2-4895-9055-B94BC85D4FF4}"/>
                </a:ext>
              </a:extLst>
            </xdr:cNvPr>
            <xdr:cNvGraphicFramePr/>
          </xdr:nvGraphicFramePr>
          <xdr:xfrm>
            <a:off x="0" y="0"/>
            <a:ext cx="0" cy="0"/>
          </xdr:xfrm>
          <a:graphic>
            <a:graphicData uri="http://schemas.microsoft.com/office/drawing/2010/slicer">
              <sle:slicer xmlns:sle="http://schemas.microsoft.com/office/drawing/2010/slicer" name="Product type 1"/>
            </a:graphicData>
          </a:graphic>
        </xdr:graphicFrame>
      </mc:Choice>
      <mc:Fallback xmlns="">
        <xdr:sp macro="" textlink="">
          <xdr:nvSpPr>
            <xdr:cNvPr id="0" name=""/>
            <xdr:cNvSpPr>
              <a:spLocks noTextEdit="1"/>
            </xdr:cNvSpPr>
          </xdr:nvSpPr>
          <xdr:spPr>
            <a:xfrm>
              <a:off x="0" y="550546"/>
              <a:ext cx="1463040" cy="114681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yasani Tarun" refreshedDate="46191.445661689817" createdVersion="8" refreshedVersion="8" minRefreshableVersion="3" recordCount="100" xr:uid="{0E895DEE-03D2-4968-A659-C35BC9178161}">
  <cacheSource type="worksheet">
    <worksheetSource name="SupplyChainTable"/>
  </cacheSource>
  <cacheFields count="27">
    <cacheField name="Product type" numFmtId="0">
      <sharedItems count="3">
        <s v="haircare"/>
        <s v="skincare"/>
        <s v="cosmetics"/>
      </sharedItems>
    </cacheField>
    <cacheField name="SKU" numFmtId="0">
      <sharedItems count="100">
        <s v="SKU0"/>
        <s v="SKU1"/>
        <s v="SKU2"/>
        <s v="SKU3"/>
        <s v="SKU4"/>
        <s v="SKU5"/>
        <s v="SKU6"/>
        <s v="SKU7"/>
        <s v="SKU8"/>
        <s v="SKU9"/>
        <s v="SKU10"/>
        <s v="SKU11"/>
        <s v="SKU12"/>
        <s v="SKU13"/>
        <s v="SKU14"/>
        <s v="SKU15"/>
        <s v="SKU16"/>
        <s v="SKU17"/>
        <s v="SKU18"/>
        <s v="SKU19"/>
        <s v="SKU20"/>
        <s v="SKU21"/>
        <s v="SKU22"/>
        <s v="SKU23"/>
        <s v="SKU24"/>
        <s v="SKU25"/>
        <s v="SKU26"/>
        <s v="SKU27"/>
        <s v="SKU28"/>
        <s v="SKU29"/>
        <s v="SKU30"/>
        <s v="SKU31"/>
        <s v="SKU32"/>
        <s v="SKU33"/>
        <s v="SKU34"/>
        <s v="SKU35"/>
        <s v="SKU36"/>
        <s v="SKU37"/>
        <s v="SKU38"/>
        <s v="SKU39"/>
        <s v="SKU40"/>
        <s v="SKU41"/>
        <s v="SKU42"/>
        <s v="SKU43"/>
        <s v="SKU44"/>
        <s v="SKU45"/>
        <s v="SKU46"/>
        <s v="SKU47"/>
        <s v="SKU48"/>
        <s v="SKU49"/>
        <s v="SKU50"/>
        <s v="SKU51"/>
        <s v="SKU52"/>
        <s v="SKU53"/>
        <s v="SKU54"/>
        <s v="SKU55"/>
        <s v="SKU56"/>
        <s v="SKU57"/>
        <s v="SKU58"/>
        <s v="SKU59"/>
        <s v="SKU60"/>
        <s v="SKU61"/>
        <s v="SKU62"/>
        <s v="SKU63"/>
        <s v="SKU64"/>
        <s v="SKU65"/>
        <s v="SKU66"/>
        <s v="SKU67"/>
        <s v="SKU68"/>
        <s v="SKU69"/>
        <s v="SKU70"/>
        <s v="SKU71"/>
        <s v="SKU72"/>
        <s v="SKU73"/>
        <s v="SKU74"/>
        <s v="SKU75"/>
        <s v="SKU76"/>
        <s v="SKU77"/>
        <s v="SKU78"/>
        <s v="SKU79"/>
        <s v="SKU80"/>
        <s v="SKU81"/>
        <s v="SKU82"/>
        <s v="SKU83"/>
        <s v="SKU84"/>
        <s v="SKU85"/>
        <s v="SKU86"/>
        <s v="SKU87"/>
        <s v="SKU88"/>
        <s v="SKU89"/>
        <s v="SKU90"/>
        <s v="SKU91"/>
        <s v="SKU92"/>
        <s v="SKU93"/>
        <s v="SKU94"/>
        <s v="SKU95"/>
        <s v="SKU96"/>
        <s v="SKU97"/>
        <s v="SKU98"/>
        <s v="SKU99"/>
      </sharedItems>
    </cacheField>
    <cacheField name="Price" numFmtId="0">
      <sharedItems containsSemiMixedTypes="0" containsString="0" containsNumber="1" minValue="1.699976014" maxValue="99.171328639999999"/>
    </cacheField>
    <cacheField name="Availability" numFmtId="0">
      <sharedItems containsSemiMixedTypes="0" containsString="0" containsNumber="1" containsInteger="1" minValue="1" maxValue="100"/>
    </cacheField>
    <cacheField name="Number of products sold" numFmtId="0">
      <sharedItems containsSemiMixedTypes="0" containsString="0" containsNumber="1" containsInteger="1" minValue="8" maxValue="996"/>
    </cacheField>
    <cacheField name="Revenue generated" numFmtId="0">
      <sharedItems containsSemiMixedTypes="0" containsString="0" containsNumber="1" minValue="1061.6185230000001" maxValue="9866.4654580000006"/>
    </cacheField>
    <cacheField name="Customer demographics" numFmtId="0">
      <sharedItems count="4">
        <s v="Non-binary"/>
        <s v="Female"/>
        <s v="Unknown"/>
        <s v="Male"/>
      </sharedItems>
    </cacheField>
    <cacheField name="Stock levels" numFmtId="0">
      <sharedItems containsSemiMixedTypes="0" containsString="0" containsNumber="1" containsInteger="1" minValue="0" maxValue="100" count="65">
        <n v="58"/>
        <n v="53"/>
        <n v="1"/>
        <n v="23"/>
        <n v="5"/>
        <n v="90"/>
        <n v="11"/>
        <n v="93"/>
        <n v="14"/>
        <n v="51"/>
        <n v="46"/>
        <n v="100"/>
        <n v="80"/>
        <n v="54"/>
        <n v="9"/>
        <n v="2"/>
        <n v="45"/>
        <n v="10"/>
        <n v="48"/>
        <n v="27"/>
        <n v="69"/>
        <n v="71"/>
        <n v="84"/>
        <n v="4"/>
        <n v="82"/>
        <n v="59"/>
        <n v="47"/>
        <n v="60"/>
        <n v="6"/>
        <n v="89"/>
        <n v="42"/>
        <n v="18"/>
        <n v="25"/>
        <n v="78"/>
        <n v="64"/>
        <n v="22"/>
        <n v="36"/>
        <n v="13"/>
        <n v="92"/>
        <n v="30"/>
        <n v="97"/>
        <n v="31"/>
        <n v="96"/>
        <n v="33"/>
        <n v="41"/>
        <n v="32"/>
        <n v="86"/>
        <n v="73"/>
        <n v="57"/>
        <n v="12"/>
        <n v="0"/>
        <n v="95"/>
        <n v="76"/>
        <n v="17"/>
        <n v="16"/>
        <n v="38"/>
        <n v="39"/>
        <n v="65"/>
        <n v="15"/>
        <n v="66"/>
        <n v="98"/>
        <n v="63"/>
        <n v="77"/>
        <n v="67"/>
        <n v="55"/>
      </sharedItems>
    </cacheField>
    <cacheField name="Lead times" numFmtId="0">
      <sharedItems containsSemiMixedTypes="0" containsString="0" containsNumber="1" containsInteger="1" minValue="1" maxValue="30"/>
    </cacheField>
    <cacheField name="Order quantities" numFmtId="0">
      <sharedItems containsSemiMixedTypes="0" containsString="0" containsNumber="1" containsInteger="1" minValue="1" maxValue="96"/>
    </cacheField>
    <cacheField name="Shipping times" numFmtId="0">
      <sharedItems containsSemiMixedTypes="0" containsString="0" containsNumber="1" containsInteger="1" minValue="1" maxValue="10"/>
    </cacheField>
    <cacheField name="Shipping carriers" numFmtId="0">
      <sharedItems count="3">
        <s v="Carrier B"/>
        <s v="Carrier A"/>
        <s v="Carrier C"/>
      </sharedItems>
    </cacheField>
    <cacheField name="Shipping costs" numFmtId="0">
      <sharedItems containsSemiMixedTypes="0" containsString="0" containsNumber="1" minValue="1.0134865660000001" maxValue="9.9298162449999996"/>
    </cacheField>
    <cacheField name="Supplier name" numFmtId="0">
      <sharedItems/>
    </cacheField>
    <cacheField name="Location" numFmtId="0">
      <sharedItems/>
    </cacheField>
    <cacheField name="Lead time" numFmtId="0">
      <sharedItems containsSemiMixedTypes="0" containsString="0" containsNumber="1" containsInteger="1" minValue="1" maxValue="30"/>
    </cacheField>
    <cacheField name="Production volumes" numFmtId="0">
      <sharedItems containsSemiMixedTypes="0" containsString="0" containsNumber="1" containsInteger="1" minValue="104" maxValue="985"/>
    </cacheField>
    <cacheField name="Manufacturing lead time" numFmtId="0">
      <sharedItems containsSemiMixedTypes="0" containsString="0" containsNumber="1" containsInteger="1" minValue="1" maxValue="30"/>
    </cacheField>
    <cacheField name="Manufacturing costs" numFmtId="0">
      <sharedItems containsSemiMixedTypes="0" containsString="0" containsNumber="1" minValue="1.08506857" maxValue="99.466108599999998"/>
    </cacheField>
    <cacheField name="Inspection results" numFmtId="0">
      <sharedItems/>
    </cacheField>
    <cacheField name="Defect rates" numFmtId="0">
      <sharedItems containsSemiMixedTypes="0" containsString="0" containsNumber="1" minValue="1.8607568000000001E-2" maxValue="4.9392552890000001"/>
    </cacheField>
    <cacheField name="Transportation modes" numFmtId="0">
      <sharedItems count="4">
        <s v="Road"/>
        <s v="Air"/>
        <s v="Rail"/>
        <s v="Sea"/>
      </sharedItems>
    </cacheField>
    <cacheField name="Routes" numFmtId="0">
      <sharedItems count="3">
        <s v="Route B"/>
        <s v="Route C"/>
        <s v="Route A"/>
      </sharedItems>
    </cacheField>
    <cacheField name="Costs" numFmtId="0">
      <sharedItems containsSemiMixedTypes="0" containsString="0" containsNumber="1" minValue="103.916248" maxValue="997.41345009999998"/>
    </cacheField>
    <cacheField name="Profit" numFmtId="0">
      <sharedItems containsSemiMixedTypes="0" containsString="0" containsNumber="1" minValue="749.04424940000013" maxValue="9435.8293442000013"/>
    </cacheField>
    <cacheField name="Inventory Status" numFmtId="0">
      <sharedItems count="2">
        <s v="Available"/>
        <s v="Low Stock"/>
      </sharedItems>
    </cacheField>
    <cacheField name="Delivery Status" numFmtId="0">
      <sharedItems count="2">
        <s v="On Time"/>
        <s v="Delayed"/>
      </sharedItems>
    </cacheField>
  </cacheFields>
  <extLst>
    <ext xmlns:x14="http://schemas.microsoft.com/office/spreadsheetml/2009/9/main" uri="{725AE2AE-9491-48be-B2B4-4EB974FC3084}">
      <x14:pivotCacheDefinition pivotCacheId="128093732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x v="0"/>
    <x v="0"/>
    <n v="69.808005539999996"/>
    <n v="55"/>
    <n v="802"/>
    <n v="8661.9967919999999"/>
    <x v="0"/>
    <x v="0"/>
    <n v="7"/>
    <n v="96"/>
    <n v="4"/>
    <x v="0"/>
    <n v="2.9565721389999999"/>
    <s v="Supplier 3"/>
    <s v="Mumbai"/>
    <n v="29"/>
    <n v="215"/>
    <n v="29"/>
    <n v="46.27987924"/>
    <s v="Pending"/>
    <n v="0.226410361"/>
    <x v="0"/>
    <x v="0"/>
    <n v="187.75207549999999"/>
    <n v="8474.2447164999994"/>
    <x v="0"/>
    <x v="0"/>
  </r>
  <r>
    <x v="1"/>
    <x v="1"/>
    <n v="14.843523279999999"/>
    <n v="95"/>
    <n v="736"/>
    <n v="7460.9000649999998"/>
    <x v="1"/>
    <x v="1"/>
    <n v="30"/>
    <n v="37"/>
    <n v="2"/>
    <x v="1"/>
    <n v="9.7165747709999994"/>
    <s v="Supplier 3"/>
    <s v="Mumbai"/>
    <n v="23"/>
    <n v="517"/>
    <n v="30"/>
    <n v="33.616768950000001"/>
    <s v="Pending"/>
    <n v="4.8540680260000002"/>
    <x v="0"/>
    <x v="0"/>
    <n v="503.06557909999998"/>
    <n v="6957.8344858999999"/>
    <x v="0"/>
    <x v="0"/>
  </r>
  <r>
    <x v="0"/>
    <x v="2"/>
    <n v="11.31968329"/>
    <n v="34"/>
    <n v="8"/>
    <n v="9577.7496260000007"/>
    <x v="2"/>
    <x v="2"/>
    <n v="10"/>
    <n v="88"/>
    <n v="2"/>
    <x v="0"/>
    <n v="8.0544792619999992"/>
    <s v="Supplier 1"/>
    <s v="Mumbai"/>
    <n v="12"/>
    <n v="971"/>
    <n v="27"/>
    <n v="30.688019350000001"/>
    <s v="Pending"/>
    <n v="4.5805926189999999"/>
    <x v="1"/>
    <x v="1"/>
    <n v="141.9202818"/>
    <n v="9435.8293442000013"/>
    <x v="1"/>
    <x v="0"/>
  </r>
  <r>
    <x v="1"/>
    <x v="3"/>
    <n v="61.163343019999999"/>
    <n v="68"/>
    <n v="83"/>
    <n v="7766.8364259999998"/>
    <x v="0"/>
    <x v="3"/>
    <n v="13"/>
    <n v="59"/>
    <n v="6"/>
    <x v="2"/>
    <n v="1.729568564"/>
    <s v="Supplier 5"/>
    <s v="Kolkata"/>
    <n v="24"/>
    <n v="937"/>
    <n v="18"/>
    <n v="35.624741399999998"/>
    <s v="Fail"/>
    <n v="4.7466486210000003"/>
    <x v="2"/>
    <x v="2"/>
    <n v="254.7761592"/>
    <n v="7512.0602668000001"/>
    <x v="0"/>
    <x v="0"/>
  </r>
  <r>
    <x v="1"/>
    <x v="4"/>
    <n v="4.8054960360000001"/>
    <n v="26"/>
    <n v="871"/>
    <n v="2686.5051520000002"/>
    <x v="0"/>
    <x v="4"/>
    <n v="3"/>
    <n v="56"/>
    <n v="8"/>
    <x v="1"/>
    <n v="3.8905479160000001"/>
    <s v="Supplier 1"/>
    <s v="Delhi"/>
    <n v="5"/>
    <n v="414"/>
    <n v="3"/>
    <n v="92.065160599999999"/>
    <s v="Fail"/>
    <n v="3.1455795229999999"/>
    <x v="1"/>
    <x v="2"/>
    <n v="923.44063170000004"/>
    <n v="1763.0645203000001"/>
    <x v="1"/>
    <x v="1"/>
  </r>
  <r>
    <x v="0"/>
    <x v="5"/>
    <n v="1.699976014"/>
    <n v="87"/>
    <n v="147"/>
    <n v="2828.3487460000001"/>
    <x v="0"/>
    <x v="5"/>
    <n v="27"/>
    <n v="66"/>
    <n v="3"/>
    <x v="0"/>
    <n v="4.4440988639999999"/>
    <s v="Supplier 4"/>
    <s v="Bangalore"/>
    <n v="10"/>
    <n v="104"/>
    <n v="17"/>
    <n v="56.766475560000003"/>
    <s v="Fail"/>
    <n v="2.779193512"/>
    <x v="0"/>
    <x v="2"/>
    <n v="235.4612367"/>
    <n v="2592.8875093000001"/>
    <x v="0"/>
    <x v="0"/>
  </r>
  <r>
    <x v="1"/>
    <x v="6"/>
    <n v="4.078332863"/>
    <n v="48"/>
    <n v="65"/>
    <n v="7823.4765600000001"/>
    <x v="3"/>
    <x v="6"/>
    <n v="15"/>
    <n v="58"/>
    <n v="8"/>
    <x v="2"/>
    <n v="3.8807633030000002"/>
    <s v="Supplier 3"/>
    <s v="Kolkata"/>
    <n v="14"/>
    <n v="314"/>
    <n v="24"/>
    <n v="1.08506857"/>
    <s v="Pending"/>
    <n v="1.0009106189999999"/>
    <x v="3"/>
    <x v="2"/>
    <n v="134.36909689999999"/>
    <n v="7689.1074631000001"/>
    <x v="1"/>
    <x v="1"/>
  </r>
  <r>
    <x v="2"/>
    <x v="7"/>
    <n v="42.958384379999998"/>
    <n v="59"/>
    <n v="426"/>
    <n v="8496.1038129999997"/>
    <x v="1"/>
    <x v="7"/>
    <n v="17"/>
    <n v="11"/>
    <n v="1"/>
    <x v="0"/>
    <n v="2.3483387840000001"/>
    <s v="Supplier 4"/>
    <s v="Bangalore"/>
    <n v="22"/>
    <n v="564"/>
    <n v="1"/>
    <n v="99.466108599999998"/>
    <s v="Fail"/>
    <n v="0.39817718699999999"/>
    <x v="0"/>
    <x v="1"/>
    <n v="802.0563118"/>
    <n v="7694.0475011999997"/>
    <x v="0"/>
    <x v="0"/>
  </r>
  <r>
    <x v="2"/>
    <x v="8"/>
    <n v="68.717596749999998"/>
    <n v="78"/>
    <n v="150"/>
    <n v="7517.3632109999999"/>
    <x v="1"/>
    <x v="4"/>
    <n v="10"/>
    <n v="15"/>
    <n v="7"/>
    <x v="2"/>
    <n v="3.4047338570000001"/>
    <s v="Supplier 4"/>
    <s v="Mumbai"/>
    <n v="13"/>
    <n v="769"/>
    <n v="8"/>
    <n v="11.42302714"/>
    <s v="Pending"/>
    <n v="2.7098626910000001"/>
    <x v="3"/>
    <x v="0"/>
    <n v="505.55713420000001"/>
    <n v="7011.8060767999996"/>
    <x v="1"/>
    <x v="0"/>
  </r>
  <r>
    <x v="1"/>
    <x v="9"/>
    <n v="64.015732940000007"/>
    <n v="35"/>
    <n v="980"/>
    <n v="4971.1459880000002"/>
    <x v="2"/>
    <x v="8"/>
    <n v="27"/>
    <n v="83"/>
    <n v="1"/>
    <x v="1"/>
    <n v="7.166645291"/>
    <s v="Supplier 2"/>
    <s v="Chennai"/>
    <n v="29"/>
    <n v="963"/>
    <n v="23"/>
    <n v="47.957601629999999"/>
    <s v="Pending"/>
    <n v="3.8446144790000001"/>
    <x v="2"/>
    <x v="0"/>
    <n v="995.9294615"/>
    <n v="3975.2165265000003"/>
    <x v="1"/>
    <x v="0"/>
  </r>
  <r>
    <x v="1"/>
    <x v="10"/>
    <n v="15.70779568"/>
    <n v="11"/>
    <n v="996"/>
    <n v="2330.9658020000002"/>
    <x v="0"/>
    <x v="9"/>
    <n v="13"/>
    <n v="80"/>
    <n v="2"/>
    <x v="2"/>
    <n v="8.6732112109999999"/>
    <s v="Supplier 5"/>
    <s v="Kolkata"/>
    <n v="18"/>
    <n v="830"/>
    <n v="5"/>
    <n v="96.527352789999995"/>
    <s v="Pass"/>
    <n v="1.7273139280000001"/>
    <x v="0"/>
    <x v="0"/>
    <n v="806.10317769999995"/>
    <n v="1524.8626243000003"/>
    <x v="0"/>
    <x v="0"/>
  </r>
  <r>
    <x v="1"/>
    <x v="11"/>
    <n v="90.635459979999993"/>
    <n v="95"/>
    <n v="960"/>
    <n v="6099.9441159999997"/>
    <x v="1"/>
    <x v="10"/>
    <n v="23"/>
    <n v="60"/>
    <n v="1"/>
    <x v="1"/>
    <n v="4.5239431239999996"/>
    <s v="Supplier 2"/>
    <s v="Kolkata"/>
    <n v="28"/>
    <n v="362"/>
    <n v="11"/>
    <n v="27.592363089999999"/>
    <s v="Pending"/>
    <n v="2.1169820999999998E-2"/>
    <x v="1"/>
    <x v="2"/>
    <n v="126.72303340000001"/>
    <n v="5973.2210826"/>
    <x v="0"/>
    <x v="0"/>
  </r>
  <r>
    <x v="0"/>
    <x v="12"/>
    <n v="71.213389079999999"/>
    <n v="41"/>
    <n v="336"/>
    <n v="2873.741446"/>
    <x v="2"/>
    <x v="11"/>
    <n v="30"/>
    <n v="85"/>
    <n v="4"/>
    <x v="1"/>
    <n v="1.32527401"/>
    <s v="Supplier 4"/>
    <s v="Kolkata"/>
    <n v="3"/>
    <n v="563"/>
    <n v="3"/>
    <n v="32.321286209999997"/>
    <s v="Fail"/>
    <n v="2.161253748"/>
    <x v="0"/>
    <x v="0"/>
    <n v="402.96878909999998"/>
    <n v="2470.7726569000001"/>
    <x v="0"/>
    <x v="0"/>
  </r>
  <r>
    <x v="1"/>
    <x v="13"/>
    <n v="16.160393320000001"/>
    <n v="5"/>
    <n v="249"/>
    <n v="4052.7384160000001"/>
    <x v="3"/>
    <x v="12"/>
    <n v="8"/>
    <n v="48"/>
    <n v="9"/>
    <x v="1"/>
    <n v="9.5372830610000001"/>
    <s v="Supplier 5"/>
    <s v="Bangalore"/>
    <n v="23"/>
    <n v="173"/>
    <n v="10"/>
    <n v="97.829050109999997"/>
    <s v="Pending"/>
    <n v="1.6310742300000001"/>
    <x v="0"/>
    <x v="0"/>
    <n v="547.24100520000002"/>
    <n v="3505.4974108000001"/>
    <x v="0"/>
    <x v="1"/>
  </r>
  <r>
    <x v="1"/>
    <x v="14"/>
    <n v="99.171328639999999"/>
    <n v="26"/>
    <n v="562"/>
    <n v="8653.5709260000003"/>
    <x v="0"/>
    <x v="13"/>
    <n v="29"/>
    <n v="78"/>
    <n v="5"/>
    <x v="0"/>
    <n v="2.039770189"/>
    <s v="Supplier 1"/>
    <s v="Kolkata"/>
    <n v="25"/>
    <n v="558"/>
    <n v="14"/>
    <n v="5.7914366299999998"/>
    <s v="Pending"/>
    <n v="0.100682852"/>
    <x v="1"/>
    <x v="0"/>
    <n v="929.23528999999996"/>
    <n v="7724.3356360000007"/>
    <x v="0"/>
    <x v="0"/>
  </r>
  <r>
    <x v="1"/>
    <x v="15"/>
    <n v="36.989244929999998"/>
    <n v="94"/>
    <n v="469"/>
    <n v="5442.0867850000004"/>
    <x v="0"/>
    <x v="14"/>
    <n v="8"/>
    <n v="69"/>
    <n v="7"/>
    <x v="0"/>
    <n v="2.4220397230000001"/>
    <s v="Supplier 1"/>
    <s v="Bangalore"/>
    <n v="14"/>
    <n v="580"/>
    <n v="7"/>
    <n v="97.121281749999994"/>
    <s v="Pass"/>
    <n v="2.2644057609999999"/>
    <x v="3"/>
    <x v="0"/>
    <n v="127.8618"/>
    <n v="5314.2249850000007"/>
    <x v="1"/>
    <x v="0"/>
  </r>
  <r>
    <x v="1"/>
    <x v="16"/>
    <n v="7.54717211"/>
    <n v="74"/>
    <n v="280"/>
    <n v="6453.7979679999999"/>
    <x v="1"/>
    <x v="15"/>
    <n v="5"/>
    <n v="78"/>
    <n v="1"/>
    <x v="0"/>
    <n v="4.1913245860000004"/>
    <s v="Supplier 1"/>
    <s v="Bangalore"/>
    <n v="3"/>
    <n v="399"/>
    <n v="21"/>
    <n v="77.106342499999997"/>
    <s v="Pass"/>
    <n v="1.0125630889999999"/>
    <x v="1"/>
    <x v="2"/>
    <n v="865.52577980000001"/>
    <n v="5588.2721881999996"/>
    <x v="1"/>
    <x v="0"/>
  </r>
  <r>
    <x v="2"/>
    <x v="17"/>
    <n v="81.46253437"/>
    <n v="82"/>
    <n v="126"/>
    <n v="2629.3964350000001"/>
    <x v="1"/>
    <x v="16"/>
    <n v="17"/>
    <n v="85"/>
    <n v="9"/>
    <x v="2"/>
    <n v="3.585418958"/>
    <s v="Supplier 1"/>
    <s v="Chennai"/>
    <n v="7"/>
    <n v="453"/>
    <n v="16"/>
    <n v="47.67968037"/>
    <s v="Fail"/>
    <n v="0.102020755"/>
    <x v="1"/>
    <x v="1"/>
    <n v="670.93439079999996"/>
    <n v="1958.4620442"/>
    <x v="0"/>
    <x v="1"/>
  </r>
  <r>
    <x v="0"/>
    <x v="18"/>
    <n v="36.443627769999999"/>
    <n v="23"/>
    <n v="620"/>
    <n v="9364.6735050000007"/>
    <x v="2"/>
    <x v="17"/>
    <n v="10"/>
    <n v="46"/>
    <n v="8"/>
    <x v="2"/>
    <n v="4.3392247140000002"/>
    <s v="Supplier 2"/>
    <s v="Kolkata"/>
    <n v="18"/>
    <n v="374"/>
    <n v="17"/>
    <n v="27.107980850000001"/>
    <s v="Pending"/>
    <n v="2.231939111"/>
    <x v="3"/>
    <x v="2"/>
    <n v="593.48025870000004"/>
    <n v="8771.1932463000012"/>
    <x v="1"/>
    <x v="1"/>
  </r>
  <r>
    <x v="1"/>
    <x v="19"/>
    <n v="51.123870089999997"/>
    <n v="100"/>
    <n v="187"/>
    <n v="2553.4955850000001"/>
    <x v="2"/>
    <x v="18"/>
    <n v="11"/>
    <n v="94"/>
    <n v="3"/>
    <x v="1"/>
    <n v="4.7426358830000002"/>
    <s v="Supplier 4"/>
    <s v="Chennai"/>
    <n v="20"/>
    <n v="694"/>
    <n v="16"/>
    <n v="82.373320590000006"/>
    <s v="Fail"/>
    <n v="3.6464508649999998"/>
    <x v="0"/>
    <x v="1"/>
    <n v="477.30763109999998"/>
    <n v="2076.1879539000001"/>
    <x v="0"/>
    <x v="0"/>
  </r>
  <r>
    <x v="1"/>
    <x v="20"/>
    <n v="96.341072440000005"/>
    <n v="22"/>
    <n v="320"/>
    <n v="8128.0276970000004"/>
    <x v="2"/>
    <x v="19"/>
    <n v="12"/>
    <n v="68"/>
    <n v="6"/>
    <x v="1"/>
    <n v="8.8783346509999994"/>
    <s v="Supplier 1"/>
    <s v="Chennai"/>
    <n v="29"/>
    <n v="309"/>
    <n v="6"/>
    <n v="65.686259609999993"/>
    <s v="Pass"/>
    <n v="4.2314165739999998"/>
    <x v="1"/>
    <x v="0"/>
    <n v="493.87121530000002"/>
    <n v="7634.1564817000008"/>
    <x v="0"/>
    <x v="0"/>
  </r>
  <r>
    <x v="2"/>
    <x v="21"/>
    <n v="84.893868979999993"/>
    <n v="60"/>
    <n v="601"/>
    <n v="7087.0526959999997"/>
    <x v="2"/>
    <x v="20"/>
    <n v="25"/>
    <n v="7"/>
    <n v="6"/>
    <x v="0"/>
    <n v="6.0378837689999996"/>
    <s v="Supplier 5"/>
    <s v="Chennai"/>
    <n v="19"/>
    <n v="791"/>
    <n v="4"/>
    <n v="61.735728950000002"/>
    <s v="Pending"/>
    <n v="1.8607568000000001E-2"/>
    <x v="1"/>
    <x v="1"/>
    <n v="523.36091469999997"/>
    <n v="6563.6917813"/>
    <x v="0"/>
    <x v="0"/>
  </r>
  <r>
    <x v="0"/>
    <x v="22"/>
    <n v="27.67978089"/>
    <n v="55"/>
    <n v="884"/>
    <n v="2390.807867"/>
    <x v="2"/>
    <x v="21"/>
    <n v="1"/>
    <n v="63"/>
    <n v="10"/>
    <x v="1"/>
    <n v="9.567648921"/>
    <s v="Supplier 4"/>
    <s v="Kolkata"/>
    <n v="22"/>
    <n v="780"/>
    <n v="28"/>
    <n v="50.120839609999997"/>
    <s v="Fail"/>
    <n v="2.5912754730000001"/>
    <x v="2"/>
    <x v="1"/>
    <n v="205.5719958"/>
    <n v="2185.2358712"/>
    <x v="0"/>
    <x v="1"/>
  </r>
  <r>
    <x v="2"/>
    <x v="23"/>
    <n v="4.3243411859999998"/>
    <n v="30"/>
    <n v="391"/>
    <n v="8858.3675710000007"/>
    <x v="2"/>
    <x v="22"/>
    <n v="5"/>
    <n v="29"/>
    <n v="7"/>
    <x v="1"/>
    <n v="2.9248576009999998"/>
    <s v="Supplier 5"/>
    <s v="Kolkata"/>
    <n v="11"/>
    <n v="568"/>
    <n v="29"/>
    <n v="98.60995724"/>
    <s v="Pending"/>
    <n v="1.3422915630000001"/>
    <x v="2"/>
    <x v="2"/>
    <n v="196.32944610000001"/>
    <n v="8662.0381249000002"/>
    <x v="0"/>
    <x v="0"/>
  </r>
  <r>
    <x v="0"/>
    <x v="24"/>
    <n v="4.1563083589999996"/>
    <n v="32"/>
    <n v="209"/>
    <n v="9049.0778609999998"/>
    <x v="3"/>
    <x v="23"/>
    <n v="26"/>
    <n v="2"/>
    <n v="8"/>
    <x v="2"/>
    <n v="9.7412916890000005"/>
    <s v="Supplier 2"/>
    <s v="Bangalore"/>
    <n v="28"/>
    <n v="447"/>
    <n v="3"/>
    <n v="40.382359700000002"/>
    <s v="Pending"/>
    <n v="3.6913102929999999"/>
    <x v="1"/>
    <x v="2"/>
    <n v="758.72477260000005"/>
    <n v="8290.3530883999993"/>
    <x v="1"/>
    <x v="1"/>
  </r>
  <r>
    <x v="0"/>
    <x v="25"/>
    <n v="39.629343990000002"/>
    <n v="73"/>
    <n v="142"/>
    <n v="2174.7770540000001"/>
    <x v="3"/>
    <x v="24"/>
    <n v="11"/>
    <n v="52"/>
    <n v="3"/>
    <x v="2"/>
    <n v="2.2310736809999998"/>
    <s v="Supplier 4"/>
    <s v="Kolkata"/>
    <n v="19"/>
    <n v="934"/>
    <n v="23"/>
    <n v="78.280383119999996"/>
    <s v="Pending"/>
    <n v="3.7972312170000002"/>
    <x v="0"/>
    <x v="0"/>
    <n v="458.53594570000001"/>
    <n v="1716.2411083000002"/>
    <x v="0"/>
    <x v="0"/>
  </r>
  <r>
    <x v="0"/>
    <x v="26"/>
    <n v="97.446946620000006"/>
    <n v="9"/>
    <n v="353"/>
    <n v="3716.4933259999998"/>
    <x v="3"/>
    <x v="25"/>
    <n v="16"/>
    <n v="48"/>
    <n v="4"/>
    <x v="0"/>
    <n v="6.5075486209999998"/>
    <s v="Supplier 2"/>
    <s v="Bangalore"/>
    <n v="26"/>
    <n v="171"/>
    <n v="4"/>
    <n v="15.972229759999999"/>
    <s v="Pass"/>
    <n v="2.1193197370000001"/>
    <x v="2"/>
    <x v="2"/>
    <n v="617.8669165"/>
    <n v="3098.6264094999997"/>
    <x v="0"/>
    <x v="0"/>
  </r>
  <r>
    <x v="2"/>
    <x v="27"/>
    <n v="92.557360810000006"/>
    <n v="42"/>
    <n v="352"/>
    <n v="2686.4572240000002"/>
    <x v="2"/>
    <x v="26"/>
    <n v="9"/>
    <n v="62"/>
    <n v="8"/>
    <x v="2"/>
    <n v="7.4067509530000004"/>
    <s v="Supplier 5"/>
    <s v="Mumbai"/>
    <n v="25"/>
    <n v="291"/>
    <n v="4"/>
    <n v="10.528245070000001"/>
    <s v="Fail"/>
    <n v="2.8646678379999999"/>
    <x v="3"/>
    <x v="0"/>
    <n v="762.45918219999999"/>
    <n v="1923.9980418000002"/>
    <x v="0"/>
    <x v="1"/>
  </r>
  <r>
    <x v="2"/>
    <x v="28"/>
    <n v="2.3972747060000001"/>
    <n v="12"/>
    <n v="394"/>
    <n v="6117.3246150000004"/>
    <x v="1"/>
    <x v="18"/>
    <n v="15"/>
    <n v="24"/>
    <n v="4"/>
    <x v="0"/>
    <n v="9.8981405079999991"/>
    <s v="Supplier 1"/>
    <s v="Mumbai"/>
    <n v="13"/>
    <n v="171"/>
    <n v="7"/>
    <n v="59.429381810000002"/>
    <s v="Fail"/>
    <n v="0.81575707900000005"/>
    <x v="1"/>
    <x v="2"/>
    <n v="123.4370275"/>
    <n v="5993.8875875000003"/>
    <x v="0"/>
    <x v="0"/>
  </r>
  <r>
    <x v="2"/>
    <x v="29"/>
    <n v="63.44755919"/>
    <n v="3"/>
    <n v="253"/>
    <n v="8318.9031950000008"/>
    <x v="1"/>
    <x v="16"/>
    <n v="5"/>
    <n v="67"/>
    <n v="7"/>
    <x v="0"/>
    <n v="8.1009731449999993"/>
    <s v="Supplier 1"/>
    <s v="Kolkata"/>
    <n v="16"/>
    <n v="329"/>
    <n v="7"/>
    <n v="39.292875590000001"/>
    <s v="Pass"/>
    <n v="3.8780989369999999"/>
    <x v="0"/>
    <x v="0"/>
    <n v="764.93537590000005"/>
    <n v="7553.9678191000003"/>
    <x v="0"/>
    <x v="0"/>
  </r>
  <r>
    <x v="0"/>
    <x v="30"/>
    <n v="8.0228592110000001"/>
    <n v="10"/>
    <n v="327"/>
    <n v="2766.3423670000002"/>
    <x v="3"/>
    <x v="27"/>
    <n v="26"/>
    <n v="35"/>
    <n v="7"/>
    <x v="0"/>
    <n v="8.9545283149999992"/>
    <s v="Supplier 4"/>
    <s v="Kolkata"/>
    <n v="27"/>
    <n v="806"/>
    <n v="30"/>
    <n v="51.634893400000003"/>
    <s v="Pending"/>
    <n v="0.96539470500000002"/>
    <x v="0"/>
    <x v="1"/>
    <n v="880.08098819999998"/>
    <n v="1886.2613788000003"/>
    <x v="0"/>
    <x v="0"/>
  </r>
  <r>
    <x v="1"/>
    <x v="31"/>
    <n v="50.847393050000001"/>
    <n v="28"/>
    <n v="168"/>
    <n v="9655.1351030000005"/>
    <x v="3"/>
    <x v="28"/>
    <n v="17"/>
    <n v="44"/>
    <n v="4"/>
    <x v="0"/>
    <n v="2.6796609650000001"/>
    <s v="Supplier 3"/>
    <s v="Chennai"/>
    <n v="24"/>
    <n v="461"/>
    <n v="8"/>
    <n v="60.251145659999999"/>
    <s v="Pending"/>
    <n v="2.989000007"/>
    <x v="2"/>
    <x v="1"/>
    <n v="609.37920659999997"/>
    <n v="9045.7558964"/>
    <x v="1"/>
    <x v="0"/>
  </r>
  <r>
    <x v="1"/>
    <x v="32"/>
    <n v="79.209936020000001"/>
    <n v="43"/>
    <n v="781"/>
    <n v="9571.5504870000004"/>
    <x v="2"/>
    <x v="29"/>
    <n v="13"/>
    <n v="64"/>
    <n v="4"/>
    <x v="2"/>
    <n v="6.5991049009999996"/>
    <s v="Supplier 3"/>
    <s v="Kolkata"/>
    <n v="30"/>
    <n v="737"/>
    <n v="7"/>
    <n v="29.692467149999999"/>
    <s v="Pass"/>
    <n v="1.946036119"/>
    <x v="0"/>
    <x v="2"/>
    <n v="761.17390950000004"/>
    <n v="8810.3765775000011"/>
    <x v="0"/>
    <x v="0"/>
  </r>
  <r>
    <x v="2"/>
    <x v="33"/>
    <n v="64.795434999999998"/>
    <n v="63"/>
    <n v="616"/>
    <n v="5149.9983499999998"/>
    <x v="0"/>
    <x v="23"/>
    <n v="17"/>
    <n v="95"/>
    <n v="9"/>
    <x v="2"/>
    <n v="4.858270503"/>
    <s v="Supplier 5"/>
    <s v="Chennai"/>
    <n v="1"/>
    <n v="251"/>
    <n v="23"/>
    <n v="23.85342751"/>
    <s v="Fail"/>
    <n v="3.5410460119999998"/>
    <x v="3"/>
    <x v="2"/>
    <n v="371.25529549999999"/>
    <n v="4778.7430544999997"/>
    <x v="1"/>
    <x v="1"/>
  </r>
  <r>
    <x v="1"/>
    <x v="34"/>
    <n v="37.467592330000002"/>
    <n v="96"/>
    <n v="602"/>
    <n v="9061.7108960000005"/>
    <x v="2"/>
    <x v="2"/>
    <n v="26"/>
    <n v="21"/>
    <n v="7"/>
    <x v="1"/>
    <n v="1.019487571"/>
    <s v="Supplier 1"/>
    <s v="Chennai"/>
    <n v="4"/>
    <n v="452"/>
    <n v="10"/>
    <n v="10.754272820000001"/>
    <s v="Pass"/>
    <n v="0.64660455900000002"/>
    <x v="0"/>
    <x v="0"/>
    <n v="510.35800039999998"/>
    <n v="8551.3528956000009"/>
    <x v="1"/>
    <x v="0"/>
  </r>
  <r>
    <x v="2"/>
    <x v="35"/>
    <n v="84.957786819999995"/>
    <n v="11"/>
    <n v="449"/>
    <n v="6541.3293450000001"/>
    <x v="1"/>
    <x v="30"/>
    <n v="27"/>
    <n v="85"/>
    <n v="8"/>
    <x v="2"/>
    <n v="5.2881899900000002"/>
    <s v="Supplier 1"/>
    <s v="Delhi"/>
    <n v="3"/>
    <n v="367"/>
    <n v="2"/>
    <n v="58.004787039999997"/>
    <s v="Pass"/>
    <n v="0.54115409800000003"/>
    <x v="3"/>
    <x v="1"/>
    <n v="553.42047119999995"/>
    <n v="5987.9088738"/>
    <x v="0"/>
    <x v="1"/>
  </r>
  <r>
    <x v="1"/>
    <x v="36"/>
    <n v="9.8130025790000008"/>
    <n v="34"/>
    <n v="963"/>
    <n v="7573.4024579999996"/>
    <x v="1"/>
    <x v="31"/>
    <n v="23"/>
    <n v="28"/>
    <n v="3"/>
    <x v="0"/>
    <n v="2.1079512669999998"/>
    <s v="Supplier 2"/>
    <s v="Delhi"/>
    <n v="26"/>
    <n v="671"/>
    <n v="19"/>
    <n v="45.531364240000002"/>
    <s v="Fail"/>
    <n v="3.8055333789999999"/>
    <x v="1"/>
    <x v="1"/>
    <n v="403.80897420000002"/>
    <n v="7169.5934837999994"/>
    <x v="1"/>
    <x v="0"/>
  </r>
  <r>
    <x v="1"/>
    <x v="37"/>
    <n v="23.39984475"/>
    <n v="5"/>
    <n v="963"/>
    <n v="2438.3399300000001"/>
    <x v="1"/>
    <x v="32"/>
    <n v="8"/>
    <n v="21"/>
    <n v="9"/>
    <x v="1"/>
    <n v="1.5326552739999999"/>
    <s v="Supplier 3"/>
    <s v="Kolkata"/>
    <n v="24"/>
    <n v="867"/>
    <n v="15"/>
    <n v="34.343277469999997"/>
    <s v="Pending"/>
    <n v="2.6102880850000001"/>
    <x v="3"/>
    <x v="2"/>
    <n v="183.93296799999999"/>
    <n v="2254.406962"/>
    <x v="0"/>
    <x v="1"/>
  </r>
  <r>
    <x v="2"/>
    <x v="38"/>
    <n v="52.075930679999999"/>
    <n v="75"/>
    <n v="705"/>
    <n v="9692.3180400000001"/>
    <x v="0"/>
    <x v="20"/>
    <n v="1"/>
    <n v="88"/>
    <n v="5"/>
    <x v="0"/>
    <n v="9.2359314369999996"/>
    <s v="Supplier 5"/>
    <s v="Mumbai"/>
    <n v="10"/>
    <n v="841"/>
    <n v="12"/>
    <n v="5.9306936459999999"/>
    <s v="Pending"/>
    <n v="0.61332689900000004"/>
    <x v="1"/>
    <x v="0"/>
    <n v="339.67286990000002"/>
    <n v="9352.6451701000005"/>
    <x v="0"/>
    <x v="0"/>
  </r>
  <r>
    <x v="1"/>
    <x v="39"/>
    <n v="19.12747727"/>
    <n v="26"/>
    <n v="176"/>
    <n v="1912.4656629999999"/>
    <x v="1"/>
    <x v="33"/>
    <n v="29"/>
    <n v="34"/>
    <n v="3"/>
    <x v="1"/>
    <n v="5.562503779"/>
    <s v="Supplier 2"/>
    <s v="Kolkata"/>
    <n v="30"/>
    <n v="791"/>
    <n v="6"/>
    <n v="9.0058074290000008"/>
    <s v="Fail"/>
    <n v="1.451972204"/>
    <x v="1"/>
    <x v="0"/>
    <n v="653.67299460000004"/>
    <n v="1258.7926683999999"/>
    <x v="0"/>
    <x v="0"/>
  </r>
  <r>
    <x v="1"/>
    <x v="40"/>
    <n v="80.541424169999999"/>
    <n v="97"/>
    <n v="933"/>
    <n v="5724.9593500000001"/>
    <x v="1"/>
    <x v="5"/>
    <n v="20"/>
    <n v="39"/>
    <n v="8"/>
    <x v="2"/>
    <n v="7.2295951399999998"/>
    <s v="Supplier 1"/>
    <s v="Kolkata"/>
    <n v="18"/>
    <n v="793"/>
    <n v="1"/>
    <n v="88.179407100000006"/>
    <s v="Pending"/>
    <n v="4.2132694309999996"/>
    <x v="0"/>
    <x v="2"/>
    <n v="529.80872399999998"/>
    <n v="5195.1506260000006"/>
    <x v="0"/>
    <x v="1"/>
  </r>
  <r>
    <x v="1"/>
    <x v="41"/>
    <n v="99.113291619999998"/>
    <n v="35"/>
    <n v="556"/>
    <n v="5521.2052590000003"/>
    <x v="1"/>
    <x v="34"/>
    <n v="19"/>
    <n v="38"/>
    <n v="8"/>
    <x v="0"/>
    <n v="5.7732637440000003"/>
    <s v="Supplier 4"/>
    <s v="Chennai"/>
    <n v="18"/>
    <n v="892"/>
    <n v="7"/>
    <n v="95.332064549999998"/>
    <s v="Fail"/>
    <n v="4.5302262000000003E-2"/>
    <x v="3"/>
    <x v="2"/>
    <n v="275.5243711"/>
    <n v="5245.6808879"/>
    <x v="0"/>
    <x v="1"/>
  </r>
  <r>
    <x v="1"/>
    <x v="42"/>
    <n v="46.529167610000002"/>
    <n v="98"/>
    <n v="155"/>
    <n v="1839.609426"/>
    <x v="1"/>
    <x v="35"/>
    <n v="27"/>
    <n v="57"/>
    <n v="4"/>
    <x v="2"/>
    <n v="7.5262483270000002"/>
    <s v="Supplier 5"/>
    <s v="Bangalore"/>
    <n v="26"/>
    <n v="179"/>
    <n v="7"/>
    <n v="96.422820639999998"/>
    <s v="Fail"/>
    <n v="4.9392552890000001"/>
    <x v="0"/>
    <x v="2"/>
    <n v="635.65712050000002"/>
    <n v="1203.9523055"/>
    <x v="0"/>
    <x v="0"/>
  </r>
  <r>
    <x v="0"/>
    <x v="43"/>
    <n v="11.743271780000001"/>
    <n v="6"/>
    <n v="598"/>
    <n v="5737.4255990000001"/>
    <x v="2"/>
    <x v="36"/>
    <n v="29"/>
    <n v="85"/>
    <n v="9"/>
    <x v="0"/>
    <n v="3.6940212680000002"/>
    <s v="Supplier 5"/>
    <s v="Mumbai"/>
    <n v="1"/>
    <n v="206"/>
    <n v="23"/>
    <n v="26.277365960000001"/>
    <s v="Pending"/>
    <n v="0.37230476800000001"/>
    <x v="1"/>
    <x v="2"/>
    <n v="716.04411979999998"/>
    <n v="5021.3814792000003"/>
    <x v="0"/>
    <x v="1"/>
  </r>
  <r>
    <x v="2"/>
    <x v="44"/>
    <n v="51.355790910000003"/>
    <n v="34"/>
    <n v="919"/>
    <n v="7152.2860490000003"/>
    <x v="1"/>
    <x v="37"/>
    <n v="19"/>
    <n v="72"/>
    <n v="6"/>
    <x v="2"/>
    <n v="7.5774496569999998"/>
    <s v="Supplier 2"/>
    <s v="Delhi"/>
    <n v="7"/>
    <n v="834"/>
    <n v="18"/>
    <n v="22.554106619999999"/>
    <s v="Fail"/>
    <n v="2.96262632"/>
    <x v="2"/>
    <x v="2"/>
    <n v="610.4532696"/>
    <n v="6541.8327794000006"/>
    <x v="1"/>
    <x v="0"/>
  </r>
  <r>
    <x v="0"/>
    <x v="45"/>
    <n v="33.784138030000001"/>
    <n v="1"/>
    <n v="24"/>
    <n v="5267.9568079999999"/>
    <x v="3"/>
    <x v="7"/>
    <n v="7"/>
    <n v="52"/>
    <n v="6"/>
    <x v="0"/>
    <n v="5.2151550090000001"/>
    <s v="Supplier 2"/>
    <s v="Chennai"/>
    <n v="25"/>
    <n v="794"/>
    <n v="25"/>
    <n v="66.312544439999996"/>
    <s v="Pass"/>
    <n v="3.2196046119999999"/>
    <x v="2"/>
    <x v="2"/>
    <n v="495.30569700000001"/>
    <n v="4772.6511110000001"/>
    <x v="0"/>
    <x v="0"/>
  </r>
  <r>
    <x v="0"/>
    <x v="46"/>
    <n v="27.082207199999999"/>
    <n v="75"/>
    <n v="859"/>
    <n v="2556.7673610000002"/>
    <x v="0"/>
    <x v="38"/>
    <n v="29"/>
    <n v="6"/>
    <n v="8"/>
    <x v="0"/>
    <n v="4.0709558369999996"/>
    <s v="Supplier 3"/>
    <s v="Chennai"/>
    <n v="18"/>
    <n v="870"/>
    <n v="23"/>
    <n v="77.322353210000003"/>
    <s v="Pending"/>
    <n v="3.6486105929999999"/>
    <x v="0"/>
    <x v="0"/>
    <n v="380.43593709999999"/>
    <n v="2176.3314239000001"/>
    <x v="0"/>
    <x v="1"/>
  </r>
  <r>
    <x v="1"/>
    <x v="47"/>
    <n v="95.712135880000005"/>
    <n v="93"/>
    <n v="910"/>
    <n v="7089.4742500000002"/>
    <x v="3"/>
    <x v="23"/>
    <n v="15"/>
    <n v="51"/>
    <n v="9"/>
    <x v="0"/>
    <n v="8.9787507560000002"/>
    <s v="Supplier 1"/>
    <s v="Kolkata"/>
    <n v="10"/>
    <n v="964"/>
    <n v="20"/>
    <n v="19.712992910000001"/>
    <s v="Pending"/>
    <n v="0.38057358699999999"/>
    <x v="2"/>
    <x v="2"/>
    <n v="581.60235509999995"/>
    <n v="6507.8718949000004"/>
    <x v="1"/>
    <x v="1"/>
  </r>
  <r>
    <x v="0"/>
    <x v="48"/>
    <n v="76.035544430000002"/>
    <n v="28"/>
    <n v="29"/>
    <n v="7397.0710049999998"/>
    <x v="0"/>
    <x v="39"/>
    <n v="16"/>
    <n v="9"/>
    <n v="3"/>
    <x v="2"/>
    <n v="7.0958331570000004"/>
    <s v="Supplier 2"/>
    <s v="Mumbai"/>
    <n v="9"/>
    <n v="109"/>
    <n v="18"/>
    <n v="23.12636358"/>
    <s v="Fail"/>
    <n v="1.698112541"/>
    <x v="2"/>
    <x v="0"/>
    <n v="768.65191400000003"/>
    <n v="6628.4190909999998"/>
    <x v="0"/>
    <x v="0"/>
  </r>
  <r>
    <x v="2"/>
    <x v="49"/>
    <n v="78.897913209999999"/>
    <n v="19"/>
    <n v="99"/>
    <n v="8001.6132070000003"/>
    <x v="2"/>
    <x v="40"/>
    <n v="24"/>
    <n v="9"/>
    <n v="6"/>
    <x v="2"/>
    <n v="2.5056210330000002"/>
    <s v="Supplier 5"/>
    <s v="Delhi"/>
    <n v="28"/>
    <n v="177"/>
    <n v="28"/>
    <n v="14.14781544"/>
    <s v="Pass"/>
    <n v="2.8258139849999999"/>
    <x v="2"/>
    <x v="2"/>
    <n v="336.89016850000002"/>
    <n v="7664.7230385000003"/>
    <x v="0"/>
    <x v="0"/>
  </r>
  <r>
    <x v="2"/>
    <x v="50"/>
    <n v="14.20348426"/>
    <n v="91"/>
    <n v="633"/>
    <n v="5910.8853900000004"/>
    <x v="1"/>
    <x v="41"/>
    <n v="23"/>
    <n v="82"/>
    <n v="10"/>
    <x v="1"/>
    <n v="6.2478609150000004"/>
    <s v="Supplier 2"/>
    <s v="Delhi"/>
    <n v="20"/>
    <n v="306"/>
    <n v="21"/>
    <n v="45.178757920000002"/>
    <s v="Fail"/>
    <n v="4.7548008050000004"/>
    <x v="2"/>
    <x v="0"/>
    <n v="496.24865030000001"/>
    <n v="5414.6367397000004"/>
    <x v="0"/>
    <x v="1"/>
  </r>
  <r>
    <x v="0"/>
    <x v="51"/>
    <n v="26.700760970000001"/>
    <n v="61"/>
    <n v="154"/>
    <n v="9866.4654580000006"/>
    <x v="3"/>
    <x v="11"/>
    <n v="4"/>
    <n v="52"/>
    <n v="1"/>
    <x v="1"/>
    <n v="4.7830005580000003"/>
    <s v="Supplier 5"/>
    <s v="Bangalore"/>
    <n v="18"/>
    <n v="673"/>
    <n v="28"/>
    <n v="14.190328340000001"/>
    <s v="Pending"/>
    <n v="1.772951172"/>
    <x v="0"/>
    <x v="2"/>
    <n v="694.98231759999999"/>
    <n v="9171.4831403999997"/>
    <x v="0"/>
    <x v="0"/>
  </r>
  <r>
    <x v="1"/>
    <x v="52"/>
    <n v="98.03182966"/>
    <n v="1"/>
    <n v="820"/>
    <n v="9435.7626089999994"/>
    <x v="3"/>
    <x v="34"/>
    <n v="11"/>
    <n v="11"/>
    <n v="1"/>
    <x v="0"/>
    <n v="8.6310521799999993"/>
    <s v="Supplier 1"/>
    <s v="Mumbai"/>
    <n v="10"/>
    <n v="727"/>
    <n v="27"/>
    <n v="9.1668491490000008"/>
    <s v="Pending"/>
    <n v="2.1224716190000001"/>
    <x v="1"/>
    <x v="1"/>
    <n v="602.89849879999997"/>
    <n v="8832.8641102000001"/>
    <x v="0"/>
    <x v="0"/>
  </r>
  <r>
    <x v="1"/>
    <x v="53"/>
    <n v="30.341470709999999"/>
    <n v="93"/>
    <n v="242"/>
    <n v="8232.3348289999994"/>
    <x v="3"/>
    <x v="42"/>
    <n v="25"/>
    <n v="54"/>
    <n v="3"/>
    <x v="0"/>
    <n v="1.0134865660000001"/>
    <s v="Supplier 1"/>
    <s v="Delhi"/>
    <n v="1"/>
    <n v="631"/>
    <n v="17"/>
    <n v="83.344058989999994"/>
    <s v="Pending"/>
    <n v="1.4103475759999999"/>
    <x v="1"/>
    <x v="0"/>
    <n v="750.73784069999999"/>
    <n v="7481.5969882999998"/>
    <x v="0"/>
    <x v="0"/>
  </r>
  <r>
    <x v="0"/>
    <x v="54"/>
    <n v="31.146243160000001"/>
    <n v="11"/>
    <n v="622"/>
    <n v="6088.0214800000003"/>
    <x v="0"/>
    <x v="43"/>
    <n v="22"/>
    <n v="61"/>
    <n v="3"/>
    <x v="0"/>
    <n v="4.3051034709999998"/>
    <s v="Supplier 1"/>
    <s v="Kolkata"/>
    <n v="26"/>
    <n v="497"/>
    <n v="29"/>
    <n v="30.186023380000002"/>
    <s v="Pass"/>
    <n v="2.478771976"/>
    <x v="0"/>
    <x v="0"/>
    <n v="814.06999659999997"/>
    <n v="5273.9514834000001"/>
    <x v="0"/>
    <x v="0"/>
  </r>
  <r>
    <x v="0"/>
    <x v="55"/>
    <n v="79.855058339999999"/>
    <n v="16"/>
    <n v="701"/>
    <n v="2925.67517"/>
    <x v="3"/>
    <x v="40"/>
    <n v="11"/>
    <n v="11"/>
    <n v="5"/>
    <x v="1"/>
    <n v="5.0143649549999996"/>
    <s v="Supplier 2"/>
    <s v="Delhi"/>
    <n v="27"/>
    <n v="918"/>
    <n v="5"/>
    <n v="30.32354526"/>
    <s v="Fail"/>
    <n v="4.5489196590000001"/>
    <x v="3"/>
    <x v="0"/>
    <n v="323.01292799999999"/>
    <n v="2602.6622419999999"/>
    <x v="0"/>
    <x v="0"/>
  </r>
  <r>
    <x v="1"/>
    <x v="56"/>
    <n v="20.986386039999999"/>
    <n v="90"/>
    <n v="93"/>
    <n v="4767.0204839999997"/>
    <x v="0"/>
    <x v="32"/>
    <n v="23"/>
    <n v="83"/>
    <n v="5"/>
    <x v="2"/>
    <n v="1.774429714"/>
    <s v="Supplier 1"/>
    <s v="Mumbai"/>
    <n v="24"/>
    <n v="826"/>
    <n v="28"/>
    <n v="12.83628457"/>
    <s v="Pass"/>
    <n v="1.173755495"/>
    <x v="1"/>
    <x v="0"/>
    <n v="832.21080870000003"/>
    <n v="3934.8096752999995"/>
    <x v="0"/>
    <x v="0"/>
  </r>
  <r>
    <x v="0"/>
    <x v="57"/>
    <n v="49.26320535"/>
    <n v="65"/>
    <n v="227"/>
    <n v="1605.8669"/>
    <x v="2"/>
    <x v="4"/>
    <n v="18"/>
    <n v="51"/>
    <n v="1"/>
    <x v="0"/>
    <n v="9.1605585349999998"/>
    <s v="Supplier 2"/>
    <s v="Delhi"/>
    <n v="21"/>
    <n v="588"/>
    <n v="25"/>
    <n v="67.779622989999993"/>
    <s v="Pending"/>
    <n v="2.5111748299999999"/>
    <x v="2"/>
    <x v="2"/>
    <n v="482.19123860000002"/>
    <n v="1123.6756614000001"/>
    <x v="1"/>
    <x v="0"/>
  </r>
  <r>
    <x v="1"/>
    <x v="58"/>
    <n v="59.841561380000002"/>
    <n v="81"/>
    <n v="896"/>
    <n v="2021.1498099999999"/>
    <x v="0"/>
    <x v="17"/>
    <n v="5"/>
    <n v="44"/>
    <n v="7"/>
    <x v="1"/>
    <n v="4.9384385650000002"/>
    <s v="Supplier 3"/>
    <s v="Delhi"/>
    <n v="18"/>
    <n v="396"/>
    <n v="7"/>
    <n v="65.047415090000001"/>
    <s v="Fail"/>
    <n v="1.7303747199999999"/>
    <x v="0"/>
    <x v="0"/>
    <n v="110.3643352"/>
    <n v="1910.7854748"/>
    <x v="1"/>
    <x v="0"/>
  </r>
  <r>
    <x v="2"/>
    <x v="59"/>
    <n v="63.828398350000001"/>
    <n v="30"/>
    <n v="484"/>
    <n v="1061.6185230000001"/>
    <x v="0"/>
    <x v="11"/>
    <n v="16"/>
    <n v="26"/>
    <n v="7"/>
    <x v="0"/>
    <n v="7.2937225970000004"/>
    <s v="Supplier 1"/>
    <s v="Kolkata"/>
    <n v="11"/>
    <n v="176"/>
    <n v="4"/>
    <n v="1.900762244"/>
    <s v="Fail"/>
    <n v="0.447194015"/>
    <x v="1"/>
    <x v="2"/>
    <n v="312.57427360000003"/>
    <n v="749.04424940000013"/>
    <x v="0"/>
    <x v="0"/>
  </r>
  <r>
    <x v="1"/>
    <x v="60"/>
    <n v="17.02802792"/>
    <n v="16"/>
    <n v="380"/>
    <n v="8864.0843499999992"/>
    <x v="1"/>
    <x v="44"/>
    <n v="27"/>
    <n v="72"/>
    <n v="8"/>
    <x v="2"/>
    <n v="4.3813681579999999"/>
    <s v="Supplier 4"/>
    <s v="Mumbai"/>
    <n v="29"/>
    <n v="929"/>
    <n v="24"/>
    <n v="87.213057820000003"/>
    <s v="Fail"/>
    <n v="2.8530906169999999"/>
    <x v="2"/>
    <x v="2"/>
    <n v="430.16909700000002"/>
    <n v="8433.9152529999992"/>
    <x v="0"/>
    <x v="1"/>
  </r>
  <r>
    <x v="0"/>
    <x v="61"/>
    <n v="52.028749900000001"/>
    <n v="23"/>
    <n v="117"/>
    <n v="6885.5893509999996"/>
    <x v="2"/>
    <x v="45"/>
    <n v="23"/>
    <n v="36"/>
    <n v="7"/>
    <x v="2"/>
    <n v="9.0303404230000002"/>
    <s v="Supplier 4"/>
    <s v="Kolkata"/>
    <n v="14"/>
    <n v="480"/>
    <n v="12"/>
    <n v="78.702393970000003"/>
    <s v="Fail"/>
    <n v="4.3674705380000001"/>
    <x v="1"/>
    <x v="2"/>
    <n v="164.3665282"/>
    <n v="6721.2228227999994"/>
    <x v="0"/>
    <x v="0"/>
  </r>
  <r>
    <x v="2"/>
    <x v="62"/>
    <n v="72.796353960000005"/>
    <n v="89"/>
    <n v="270"/>
    <n v="3899.746834"/>
    <x v="2"/>
    <x v="46"/>
    <n v="2"/>
    <n v="40"/>
    <n v="7"/>
    <x v="2"/>
    <n v="7.291701389"/>
    <s v="Supplier 2"/>
    <s v="Mumbai"/>
    <n v="13"/>
    <n v="751"/>
    <n v="14"/>
    <n v="21.048642730000001"/>
    <s v="Pass"/>
    <n v="1.8740014039999999"/>
    <x v="3"/>
    <x v="1"/>
    <n v="320.84651580000002"/>
    <n v="3578.9003182000001"/>
    <x v="0"/>
    <x v="0"/>
  </r>
  <r>
    <x v="1"/>
    <x v="63"/>
    <n v="13.01737679"/>
    <n v="55"/>
    <n v="246"/>
    <n v="4256.9491410000001"/>
    <x v="0"/>
    <x v="13"/>
    <n v="19"/>
    <n v="10"/>
    <n v="4"/>
    <x v="1"/>
    <n v="2.4579335279999999"/>
    <s v="Supplier 3"/>
    <s v="Bangalore"/>
    <n v="18"/>
    <n v="736"/>
    <n v="10"/>
    <n v="20.075003980000002"/>
    <s v="Pending"/>
    <n v="3.6328432899999998"/>
    <x v="3"/>
    <x v="2"/>
    <n v="687.28617789999998"/>
    <n v="3569.6629631000001"/>
    <x v="0"/>
    <x v="0"/>
  </r>
  <r>
    <x v="1"/>
    <x v="64"/>
    <n v="89.634095610000003"/>
    <n v="11"/>
    <n v="134"/>
    <n v="8458.7308780000003"/>
    <x v="1"/>
    <x v="47"/>
    <n v="27"/>
    <n v="75"/>
    <n v="6"/>
    <x v="2"/>
    <n v="4.5853534680000001"/>
    <s v="Supplier 1"/>
    <s v="Delhi"/>
    <n v="17"/>
    <n v="328"/>
    <n v="6"/>
    <n v="8.6930424259999999"/>
    <s v="Fail"/>
    <n v="0.15948631499999999"/>
    <x v="1"/>
    <x v="1"/>
    <n v="771.22508470000002"/>
    <n v="7687.5057933000007"/>
    <x v="0"/>
    <x v="0"/>
  </r>
  <r>
    <x v="1"/>
    <x v="65"/>
    <n v="33.69771721"/>
    <n v="72"/>
    <n v="457"/>
    <n v="8354.5796859999991"/>
    <x v="3"/>
    <x v="48"/>
    <n v="24"/>
    <n v="54"/>
    <n v="8"/>
    <x v="2"/>
    <n v="6.5805413479999997"/>
    <s v="Supplier 5"/>
    <s v="Kolkata"/>
    <n v="16"/>
    <n v="358"/>
    <n v="21"/>
    <n v="1.5972227429999999"/>
    <s v="Fail"/>
    <n v="4.9110959550000004"/>
    <x v="2"/>
    <x v="1"/>
    <n v="555.85910369999999"/>
    <n v="7798.7205822999995"/>
    <x v="0"/>
    <x v="1"/>
  </r>
  <r>
    <x v="1"/>
    <x v="66"/>
    <n v="26.03486977"/>
    <n v="52"/>
    <n v="704"/>
    <n v="8367.7216179999996"/>
    <x v="1"/>
    <x v="37"/>
    <n v="17"/>
    <n v="19"/>
    <n v="8"/>
    <x v="1"/>
    <n v="2.216142729"/>
    <s v="Supplier 5"/>
    <s v="Kolkata"/>
    <n v="24"/>
    <n v="867"/>
    <n v="28"/>
    <n v="42.084436740000001"/>
    <s v="Fail"/>
    <n v="3.4480632880000002"/>
    <x v="0"/>
    <x v="2"/>
    <n v="393.84334860000001"/>
    <n v="7973.8782693999992"/>
    <x v="1"/>
    <x v="1"/>
  </r>
  <r>
    <x v="1"/>
    <x v="67"/>
    <n v="87.755432350000007"/>
    <n v="16"/>
    <n v="513"/>
    <n v="9473.7980329999991"/>
    <x v="2"/>
    <x v="49"/>
    <n v="9"/>
    <n v="71"/>
    <n v="9"/>
    <x v="2"/>
    <n v="9.1478115449999997"/>
    <s v="Supplier 1"/>
    <s v="Mumbai"/>
    <n v="10"/>
    <n v="198"/>
    <n v="11"/>
    <n v="7.057876147"/>
    <s v="Pass"/>
    <n v="0.13195544400000001"/>
    <x v="3"/>
    <x v="1"/>
    <n v="169.27180139999999"/>
    <n v="9304.5262315999989"/>
    <x v="1"/>
    <x v="1"/>
  </r>
  <r>
    <x v="0"/>
    <x v="68"/>
    <n v="37.931812379999997"/>
    <n v="29"/>
    <n v="163"/>
    <n v="3550.218433"/>
    <x v="0"/>
    <x v="50"/>
    <n v="8"/>
    <n v="58"/>
    <n v="8"/>
    <x v="0"/>
    <n v="1.194251865"/>
    <s v="Supplier 2"/>
    <s v="Bangalore"/>
    <n v="2"/>
    <n v="375"/>
    <n v="18"/>
    <n v="97.11358156"/>
    <s v="Fail"/>
    <n v="1.9834678720000001"/>
    <x v="2"/>
    <x v="2"/>
    <n v="299.70630310000001"/>
    <n v="3250.5121299000002"/>
    <x v="1"/>
    <x v="1"/>
  </r>
  <r>
    <x v="1"/>
    <x v="69"/>
    <n v="54.865528519999998"/>
    <n v="62"/>
    <n v="511"/>
    <n v="1752.381087"/>
    <x v="0"/>
    <x v="51"/>
    <n v="1"/>
    <n v="27"/>
    <n v="3"/>
    <x v="0"/>
    <n v="9.7052867900000006"/>
    <s v="Supplier 4"/>
    <s v="Kolkata"/>
    <n v="9"/>
    <n v="862"/>
    <n v="7"/>
    <n v="77.62776581"/>
    <s v="Pending"/>
    <n v="1.3623879889999999"/>
    <x v="1"/>
    <x v="2"/>
    <n v="207.66320619999999"/>
    <n v="1544.7178807999999"/>
    <x v="0"/>
    <x v="0"/>
  </r>
  <r>
    <x v="0"/>
    <x v="70"/>
    <n v="47.914541819999997"/>
    <n v="90"/>
    <n v="32"/>
    <n v="7014.8879870000001"/>
    <x v="1"/>
    <x v="17"/>
    <n v="12"/>
    <n v="22"/>
    <n v="4"/>
    <x v="0"/>
    <n v="6.3157177549999997"/>
    <s v="Supplier 1"/>
    <s v="Bangalore"/>
    <n v="22"/>
    <n v="775"/>
    <n v="16"/>
    <n v="11.44078182"/>
    <s v="Pass"/>
    <n v="1.8305755990000001"/>
    <x v="0"/>
    <x v="1"/>
    <n v="183.27289870000001"/>
    <n v="6831.6150883"/>
    <x v="1"/>
    <x v="0"/>
  </r>
  <r>
    <x v="2"/>
    <x v="71"/>
    <n v="6.3815331630000003"/>
    <n v="14"/>
    <n v="637"/>
    <n v="8180.3370850000001"/>
    <x v="1"/>
    <x v="52"/>
    <n v="2"/>
    <n v="26"/>
    <n v="6"/>
    <x v="1"/>
    <n v="9.2281903169999993"/>
    <s v="Supplier 2"/>
    <s v="Bangalore"/>
    <n v="2"/>
    <n v="258"/>
    <n v="10"/>
    <n v="30.661677480000002"/>
    <s v="Pending"/>
    <n v="2.078750608"/>
    <x v="0"/>
    <x v="2"/>
    <n v="405.16706790000001"/>
    <n v="7775.1700171000002"/>
    <x v="0"/>
    <x v="0"/>
  </r>
  <r>
    <x v="2"/>
    <x v="72"/>
    <n v="90.204427519999996"/>
    <n v="88"/>
    <n v="478"/>
    <n v="2633.1219809999998"/>
    <x v="0"/>
    <x v="48"/>
    <n v="29"/>
    <n v="77"/>
    <n v="9"/>
    <x v="1"/>
    <n v="6.5996141599999998"/>
    <s v="Supplier 1"/>
    <s v="Bangalore"/>
    <n v="21"/>
    <n v="152"/>
    <n v="11"/>
    <n v="55.760492900000003"/>
    <s v="Pending"/>
    <n v="3.2133296069999999"/>
    <x v="2"/>
    <x v="0"/>
    <n v="677.94456979999995"/>
    <n v="1955.1774111999998"/>
    <x v="0"/>
    <x v="1"/>
  </r>
  <r>
    <x v="2"/>
    <x v="73"/>
    <n v="83.851017679999998"/>
    <n v="41"/>
    <n v="375"/>
    <n v="7910.8869160000004"/>
    <x v="3"/>
    <x v="53"/>
    <n v="25"/>
    <n v="66"/>
    <n v="5"/>
    <x v="0"/>
    <n v="1.512936837"/>
    <s v="Supplier 4"/>
    <s v="Chennai"/>
    <n v="13"/>
    <n v="444"/>
    <n v="4"/>
    <n v="46.870238800000003"/>
    <s v="Fail"/>
    <n v="4.6205460650000001"/>
    <x v="0"/>
    <x v="2"/>
    <n v="866.47280009999997"/>
    <n v="7044.4141159000001"/>
    <x v="1"/>
    <x v="0"/>
  </r>
  <r>
    <x v="0"/>
    <x v="74"/>
    <n v="3.1700114140000002"/>
    <n v="64"/>
    <n v="904"/>
    <n v="5709.9452959999999"/>
    <x v="1"/>
    <x v="44"/>
    <n v="6"/>
    <n v="1"/>
    <n v="5"/>
    <x v="1"/>
    <n v="5.2376546499999996"/>
    <s v="Supplier 4"/>
    <s v="Delhi"/>
    <n v="1"/>
    <n v="919"/>
    <n v="9"/>
    <n v="80.580852160000006"/>
    <s v="Fail"/>
    <n v="0.39661272400000003"/>
    <x v="2"/>
    <x v="2"/>
    <n v="341.55265680000002"/>
    <n v="5368.3926391999994"/>
    <x v="0"/>
    <x v="0"/>
  </r>
  <r>
    <x v="1"/>
    <x v="75"/>
    <n v="92.996884230000006"/>
    <n v="29"/>
    <n v="106"/>
    <n v="1889.07359"/>
    <x v="0"/>
    <x v="54"/>
    <n v="20"/>
    <n v="56"/>
    <n v="10"/>
    <x v="2"/>
    <n v="2.4738977609999999"/>
    <s v="Supplier 1"/>
    <s v="Chennai"/>
    <n v="25"/>
    <n v="759"/>
    <n v="11"/>
    <n v="48.064782639999997"/>
    <s v="Pass"/>
    <n v="2.0300690889999999"/>
    <x v="1"/>
    <x v="1"/>
    <n v="873.12964799999997"/>
    <n v="1015.943942"/>
    <x v="1"/>
    <x v="1"/>
  </r>
  <r>
    <x v="0"/>
    <x v="76"/>
    <n v="69.108799550000001"/>
    <n v="23"/>
    <n v="241"/>
    <n v="5328.3759840000002"/>
    <x v="3"/>
    <x v="55"/>
    <n v="1"/>
    <n v="22"/>
    <n v="10"/>
    <x v="1"/>
    <n v="7.0545383370000003"/>
    <s v="Supplier 2"/>
    <s v="Bangalore"/>
    <n v="25"/>
    <n v="985"/>
    <n v="24"/>
    <n v="64.323597800000002"/>
    <s v="Pending"/>
    <n v="2.1800374520000001"/>
    <x v="2"/>
    <x v="2"/>
    <n v="997.41345009999998"/>
    <n v="4330.9625339000004"/>
    <x v="0"/>
    <x v="1"/>
  </r>
  <r>
    <x v="0"/>
    <x v="77"/>
    <n v="57.449742960000002"/>
    <n v="14"/>
    <n v="359"/>
    <n v="2483.760178"/>
    <x v="2"/>
    <x v="42"/>
    <n v="28"/>
    <n v="57"/>
    <n v="4"/>
    <x v="0"/>
    <n v="6.7809466260000004"/>
    <s v="Supplier 1"/>
    <s v="Kolkata"/>
    <n v="26"/>
    <n v="334"/>
    <n v="5"/>
    <n v="42.952444749999998"/>
    <s v="Pass"/>
    <n v="3.0551418180000001"/>
    <x v="0"/>
    <x v="0"/>
    <n v="852.5680989"/>
    <n v="1631.1920791"/>
    <x v="0"/>
    <x v="0"/>
  </r>
  <r>
    <x v="0"/>
    <x v="78"/>
    <n v="6.3068831760000004"/>
    <n v="50"/>
    <n v="946"/>
    <n v="1292.4584179999999"/>
    <x v="2"/>
    <x v="4"/>
    <n v="4"/>
    <n v="51"/>
    <n v="5"/>
    <x v="0"/>
    <n v="8.4670497709999992"/>
    <s v="Supplier 5"/>
    <s v="Mumbai"/>
    <n v="25"/>
    <n v="858"/>
    <n v="21"/>
    <n v="71.126514720000003"/>
    <s v="Pending"/>
    <n v="4.0968813319999997"/>
    <x v="3"/>
    <x v="1"/>
    <n v="323.59220340000002"/>
    <n v="968.86621459999992"/>
    <x v="1"/>
    <x v="0"/>
  </r>
  <r>
    <x v="0"/>
    <x v="79"/>
    <n v="57.057031219999999"/>
    <n v="56"/>
    <n v="198"/>
    <n v="7888.7232679999997"/>
    <x v="0"/>
    <x v="41"/>
    <n v="25"/>
    <n v="20"/>
    <n v="1"/>
    <x v="0"/>
    <n v="6.4963253639999996"/>
    <s v="Supplier 3"/>
    <s v="Bangalore"/>
    <n v="5"/>
    <n v="228"/>
    <n v="12"/>
    <n v="57.870902919999999"/>
    <s v="Pending"/>
    <n v="0.16587162699999999"/>
    <x v="1"/>
    <x v="1"/>
    <n v="351.50421929999999"/>
    <n v="7537.2190486999998"/>
    <x v="0"/>
    <x v="0"/>
  </r>
  <r>
    <x v="1"/>
    <x v="80"/>
    <n v="91.128318350000001"/>
    <n v="75"/>
    <n v="872"/>
    <n v="8651.6726830000007"/>
    <x v="2"/>
    <x v="56"/>
    <n v="14"/>
    <n v="41"/>
    <n v="2"/>
    <x v="2"/>
    <n v="2.8331846789999999"/>
    <s v="Supplier 3"/>
    <s v="Chennai"/>
    <n v="8"/>
    <n v="202"/>
    <n v="5"/>
    <n v="76.961228019999993"/>
    <s v="Fail"/>
    <n v="2.849662199"/>
    <x v="3"/>
    <x v="0"/>
    <n v="787.77985049999995"/>
    <n v="7863.8928325000006"/>
    <x v="0"/>
    <x v="0"/>
  </r>
  <r>
    <x v="0"/>
    <x v="81"/>
    <n v="72.819206930000007"/>
    <n v="9"/>
    <n v="774"/>
    <n v="4384.4134000000004"/>
    <x v="2"/>
    <x v="18"/>
    <n v="6"/>
    <n v="8"/>
    <n v="5"/>
    <x v="0"/>
    <n v="4.0662775020000002"/>
    <s v="Supplier 3"/>
    <s v="Delhi"/>
    <n v="28"/>
    <n v="698"/>
    <n v="1"/>
    <n v="19.789592939999999"/>
    <s v="Pending"/>
    <n v="2.5475471220000001"/>
    <x v="2"/>
    <x v="0"/>
    <n v="276.7783359"/>
    <n v="4107.6350641000008"/>
    <x v="0"/>
    <x v="0"/>
  </r>
  <r>
    <x v="1"/>
    <x v="82"/>
    <n v="17.03493074"/>
    <n v="13"/>
    <n v="336"/>
    <n v="2943.3818679999999"/>
    <x v="2"/>
    <x v="30"/>
    <n v="19"/>
    <n v="72"/>
    <n v="1"/>
    <x v="1"/>
    <n v="4.7081818740000001"/>
    <s v="Supplier 2"/>
    <s v="Mumbai"/>
    <n v="6"/>
    <n v="955"/>
    <n v="26"/>
    <n v="4.4652784350000001"/>
    <s v="Pending"/>
    <n v="4.1378770490000001"/>
    <x v="0"/>
    <x v="1"/>
    <n v="589.97855560000005"/>
    <n v="2353.4033123999998"/>
    <x v="0"/>
    <x v="0"/>
  </r>
  <r>
    <x v="0"/>
    <x v="83"/>
    <n v="68.911246210000002"/>
    <n v="82"/>
    <n v="663"/>
    <n v="2411.7546320000001"/>
    <x v="2"/>
    <x v="57"/>
    <n v="24"/>
    <n v="7"/>
    <n v="8"/>
    <x v="0"/>
    <n v="4.9498395779999997"/>
    <s v="Supplier 1"/>
    <s v="Bangalore"/>
    <n v="20"/>
    <n v="443"/>
    <n v="5"/>
    <n v="97.730593799999994"/>
    <s v="Fail"/>
    <n v="0.77300613399999996"/>
    <x v="0"/>
    <x v="2"/>
    <n v="682.9710182"/>
    <n v="1728.7836138000002"/>
    <x v="0"/>
    <x v="1"/>
  </r>
  <r>
    <x v="0"/>
    <x v="84"/>
    <n v="89.104367289999999"/>
    <n v="99"/>
    <n v="618"/>
    <n v="2048.2901000000002"/>
    <x v="2"/>
    <x v="47"/>
    <n v="26"/>
    <n v="80"/>
    <n v="10"/>
    <x v="1"/>
    <n v="8.3816156250000002"/>
    <s v="Supplier 5"/>
    <s v="Chennai"/>
    <n v="24"/>
    <n v="589"/>
    <n v="22"/>
    <n v="33.808636509999999"/>
    <s v="Pass"/>
    <n v="4.8434565770000004"/>
    <x v="1"/>
    <x v="0"/>
    <n v="465.45700599999998"/>
    <n v="1582.8330940000001"/>
    <x v="0"/>
    <x v="1"/>
  </r>
  <r>
    <x v="2"/>
    <x v="85"/>
    <n v="76.962994420000001"/>
    <n v="83"/>
    <n v="25"/>
    <n v="8684.6130589999993"/>
    <x v="1"/>
    <x v="58"/>
    <n v="18"/>
    <n v="66"/>
    <n v="2"/>
    <x v="2"/>
    <n v="8.2491687050000007"/>
    <s v="Supplier 5"/>
    <s v="Chennai"/>
    <n v="4"/>
    <n v="211"/>
    <n v="2"/>
    <n v="69.929345519999998"/>
    <s v="Fail"/>
    <n v="1.3744289999999999"/>
    <x v="0"/>
    <x v="0"/>
    <n v="842.68682999999999"/>
    <n v="7841.9262289999997"/>
    <x v="1"/>
    <x v="0"/>
  </r>
  <r>
    <x v="1"/>
    <x v="86"/>
    <n v="19.99817694"/>
    <n v="18"/>
    <n v="223"/>
    <n v="1229.5910289999999"/>
    <x v="2"/>
    <x v="45"/>
    <n v="14"/>
    <n v="22"/>
    <n v="6"/>
    <x v="0"/>
    <n v="1.4543053100000001"/>
    <s v="Supplier 1"/>
    <s v="Mumbai"/>
    <n v="4"/>
    <n v="569"/>
    <n v="18"/>
    <n v="74.608969999999999"/>
    <s v="Pass"/>
    <n v="2.051512931"/>
    <x v="2"/>
    <x v="2"/>
    <n v="264.2548898"/>
    <n v="965.33613919999993"/>
    <x v="0"/>
    <x v="0"/>
  </r>
  <r>
    <x v="0"/>
    <x v="87"/>
    <n v="80.41403665"/>
    <n v="24"/>
    <n v="79"/>
    <n v="5133.8467010000004"/>
    <x v="3"/>
    <x v="4"/>
    <n v="7"/>
    <n v="55"/>
    <n v="10"/>
    <x v="1"/>
    <n v="6.5758037979999999"/>
    <s v="Supplier 3"/>
    <s v="Chennai"/>
    <n v="27"/>
    <n v="523"/>
    <n v="17"/>
    <n v="28.696996819999999"/>
    <s v="Fail"/>
    <n v="3.693737788"/>
    <x v="3"/>
    <x v="0"/>
    <n v="879.35921770000004"/>
    <n v="4254.4874833000003"/>
    <x v="1"/>
    <x v="1"/>
  </r>
  <r>
    <x v="2"/>
    <x v="88"/>
    <n v="75.270406980000004"/>
    <n v="58"/>
    <n v="737"/>
    <n v="9444.7420330000004"/>
    <x v="3"/>
    <x v="27"/>
    <n v="18"/>
    <n v="85"/>
    <n v="7"/>
    <x v="1"/>
    <n v="3.8012531329999999"/>
    <s v="Supplier 2"/>
    <s v="Mumbai"/>
    <n v="21"/>
    <n v="953"/>
    <n v="11"/>
    <n v="68.184919059999999"/>
    <s v="Pending"/>
    <n v="0.72220440200000002"/>
    <x v="3"/>
    <x v="2"/>
    <n v="103.916248"/>
    <n v="9340.8257850000009"/>
    <x v="0"/>
    <x v="0"/>
  </r>
  <r>
    <x v="2"/>
    <x v="89"/>
    <n v="97.760085579999995"/>
    <n v="10"/>
    <n v="134"/>
    <n v="5924.6825669999998"/>
    <x v="2"/>
    <x v="5"/>
    <n v="1"/>
    <n v="27"/>
    <n v="8"/>
    <x v="0"/>
    <n v="9.9298162449999996"/>
    <s v="Supplier 1"/>
    <s v="Kolkata"/>
    <n v="23"/>
    <n v="370"/>
    <n v="11"/>
    <n v="46.603873380000003"/>
    <s v="Pending"/>
    <n v="1.9076657340000001"/>
    <x v="2"/>
    <x v="0"/>
    <n v="517.49997389999999"/>
    <n v="5407.1825931000003"/>
    <x v="0"/>
    <x v="1"/>
  </r>
  <r>
    <x v="1"/>
    <x v="90"/>
    <n v="13.8819135"/>
    <n v="56"/>
    <n v="320"/>
    <n v="9592.63357"/>
    <x v="0"/>
    <x v="59"/>
    <n v="18"/>
    <n v="96"/>
    <n v="7"/>
    <x v="0"/>
    <n v="7.674430708"/>
    <s v="Supplier 3"/>
    <s v="Bangalore"/>
    <n v="8"/>
    <n v="585"/>
    <n v="8"/>
    <n v="85.675963339999996"/>
    <s v="Pass"/>
    <n v="1.2193822240000001"/>
    <x v="2"/>
    <x v="0"/>
    <n v="990.07847249999998"/>
    <n v="8602.5550975000006"/>
    <x v="0"/>
    <x v="0"/>
  </r>
  <r>
    <x v="2"/>
    <x v="91"/>
    <n v="62.11196546"/>
    <n v="90"/>
    <n v="916"/>
    <n v="1935.2067939999999"/>
    <x v="3"/>
    <x v="60"/>
    <n v="22"/>
    <n v="85"/>
    <n v="7"/>
    <x v="0"/>
    <n v="7.4715140839999998"/>
    <s v="Supplier 4"/>
    <s v="Delhi"/>
    <n v="5"/>
    <n v="207"/>
    <n v="28"/>
    <n v="39.772882500000001"/>
    <s v="Pending"/>
    <n v="0.62600185799999997"/>
    <x v="2"/>
    <x v="0"/>
    <n v="996.77831500000002"/>
    <n v="938.42847899999992"/>
    <x v="0"/>
    <x v="0"/>
  </r>
  <r>
    <x v="2"/>
    <x v="92"/>
    <n v="47.71423308"/>
    <n v="44"/>
    <n v="276"/>
    <n v="2100.1297549999999"/>
    <x v="3"/>
    <x v="5"/>
    <n v="25"/>
    <n v="10"/>
    <n v="8"/>
    <x v="0"/>
    <n v="4.4695000260000004"/>
    <s v="Supplier 2"/>
    <s v="Mumbai"/>
    <n v="4"/>
    <n v="671"/>
    <n v="29"/>
    <n v="62.612690399999998"/>
    <s v="Pass"/>
    <n v="0.33343182500000002"/>
    <x v="2"/>
    <x v="0"/>
    <n v="230.0927825"/>
    <n v="1870.0369725"/>
    <x v="0"/>
    <x v="1"/>
  </r>
  <r>
    <x v="0"/>
    <x v="93"/>
    <n v="69.290830999999997"/>
    <n v="88"/>
    <n v="114"/>
    <n v="4531.4021339999999"/>
    <x v="2"/>
    <x v="61"/>
    <n v="17"/>
    <n v="66"/>
    <n v="1"/>
    <x v="2"/>
    <n v="7.0064320589999998"/>
    <s v="Supplier 4"/>
    <s v="Chennai"/>
    <n v="21"/>
    <n v="824"/>
    <n v="20"/>
    <n v="35.633652339999998"/>
    <s v="Fail"/>
    <n v="4.165781795"/>
    <x v="1"/>
    <x v="2"/>
    <n v="823.52384589999997"/>
    <n v="3707.8782880999997"/>
    <x v="0"/>
    <x v="0"/>
  </r>
  <r>
    <x v="2"/>
    <x v="94"/>
    <n v="3.0376887250000002"/>
    <n v="97"/>
    <n v="987"/>
    <n v="7888.3565470000003"/>
    <x v="2"/>
    <x v="62"/>
    <n v="26"/>
    <n v="72"/>
    <n v="9"/>
    <x v="0"/>
    <n v="6.9429459419999997"/>
    <s v="Supplier 2"/>
    <s v="Delhi"/>
    <n v="12"/>
    <n v="908"/>
    <n v="14"/>
    <n v="60.387378609999999"/>
    <s v="Pass"/>
    <n v="1.463607498"/>
    <x v="2"/>
    <x v="0"/>
    <n v="846.665257"/>
    <n v="7041.6912900000007"/>
    <x v="0"/>
    <x v="1"/>
  </r>
  <r>
    <x v="0"/>
    <x v="95"/>
    <n v="77.90392722"/>
    <n v="65"/>
    <n v="672"/>
    <n v="7386.3639439999997"/>
    <x v="2"/>
    <x v="58"/>
    <n v="14"/>
    <n v="26"/>
    <n v="9"/>
    <x v="0"/>
    <n v="8.6303388699999992"/>
    <s v="Supplier 4"/>
    <s v="Mumbai"/>
    <n v="18"/>
    <n v="450"/>
    <n v="26"/>
    <n v="58.890685769999997"/>
    <s v="Pending"/>
    <n v="1.2108821299999999"/>
    <x v="1"/>
    <x v="2"/>
    <n v="778.86424139999997"/>
    <n v="6607.4997026000001"/>
    <x v="1"/>
    <x v="1"/>
  </r>
  <r>
    <x v="2"/>
    <x v="96"/>
    <n v="24.423131420000001"/>
    <n v="29"/>
    <n v="324"/>
    <n v="7698.4247660000001"/>
    <x v="0"/>
    <x v="63"/>
    <n v="2"/>
    <n v="32"/>
    <n v="3"/>
    <x v="2"/>
    <n v="5.3528780439999997"/>
    <s v="Supplier 3"/>
    <s v="Mumbai"/>
    <n v="28"/>
    <n v="648"/>
    <n v="28"/>
    <n v="17.803756329999999"/>
    <s v="Pending"/>
    <n v="3.8720476810000002"/>
    <x v="0"/>
    <x v="2"/>
    <n v="188.7421411"/>
    <n v="7509.6826249000005"/>
    <x v="0"/>
    <x v="0"/>
  </r>
  <r>
    <x v="0"/>
    <x v="97"/>
    <n v="3.5261112589999999"/>
    <n v="56"/>
    <n v="62"/>
    <n v="4370.9165800000001"/>
    <x v="3"/>
    <x v="10"/>
    <n v="19"/>
    <n v="4"/>
    <n v="9"/>
    <x v="1"/>
    <n v="7.9048456109999998"/>
    <s v="Supplier 4"/>
    <s v="Mumbai"/>
    <n v="10"/>
    <n v="535"/>
    <n v="13"/>
    <n v="65.765155930000006"/>
    <s v="Fail"/>
    <n v="3.376237835"/>
    <x v="0"/>
    <x v="2"/>
    <n v="540.13242290000005"/>
    <n v="3830.7841570999999"/>
    <x v="0"/>
    <x v="1"/>
  </r>
  <r>
    <x v="1"/>
    <x v="98"/>
    <n v="19.754604870000001"/>
    <n v="43"/>
    <n v="913"/>
    <n v="8525.9525599999997"/>
    <x v="1"/>
    <x v="1"/>
    <n v="1"/>
    <n v="27"/>
    <n v="7"/>
    <x v="0"/>
    <n v="1.4098010949999999"/>
    <s v="Supplier 5"/>
    <s v="Chennai"/>
    <n v="28"/>
    <n v="581"/>
    <n v="9"/>
    <n v="5.6046908640000002"/>
    <s v="Pending"/>
    <n v="2.9081221689999999"/>
    <x v="2"/>
    <x v="2"/>
    <n v="882.19886350000002"/>
    <n v="7643.7536964999999"/>
    <x v="0"/>
    <x v="0"/>
  </r>
  <r>
    <x v="0"/>
    <x v="99"/>
    <n v="68.5178327"/>
    <n v="17"/>
    <n v="627"/>
    <n v="9185.185829"/>
    <x v="2"/>
    <x v="64"/>
    <n v="8"/>
    <n v="59"/>
    <n v="6"/>
    <x v="0"/>
    <n v="1.311023756"/>
    <s v="Supplier 2"/>
    <s v="Chennai"/>
    <n v="29"/>
    <n v="921"/>
    <n v="2"/>
    <n v="38.072898520000003"/>
    <s v="Fail"/>
    <n v="0.34602729100000001"/>
    <x v="2"/>
    <x v="0"/>
    <n v="210.743009"/>
    <n v="8974.4428200000002"/>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A13D6C1-FFE9-4EEC-8A16-D80D40B75829}"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70:E75" firstHeaderRow="1" firstDataRow="2" firstDataCol="1"/>
  <pivotFields count="27">
    <pivotField axis="axisRow" showAll="0">
      <items count="4">
        <item x="2"/>
        <item x="0"/>
        <item x="1"/>
        <item t="default"/>
      </items>
    </pivotField>
    <pivotField showAll="0"/>
    <pivotField showAll="0"/>
    <pivotField showAll="0"/>
    <pivotField dataField="1" showAll="0"/>
    <pivotField showAll="0"/>
    <pivotField showAll="0">
      <items count="5">
        <item x="1"/>
        <item x="3"/>
        <item x="0"/>
        <item x="2"/>
        <item t="default"/>
      </items>
    </pivotField>
    <pivotField showAll="0"/>
    <pivotField showAll="0"/>
    <pivotField showAll="0"/>
    <pivotField showAll="0"/>
    <pivotField axis="axisCol" showAll="0">
      <items count="4">
        <item x="1"/>
        <item x="0"/>
        <item x="2"/>
        <item t="default"/>
      </items>
    </pivotField>
    <pivotField showAll="0"/>
    <pivotField showAll="0"/>
    <pivotField showAll="0"/>
    <pivotField showAll="0"/>
    <pivotField showAll="0"/>
    <pivotField showAll="0"/>
    <pivotField showAll="0"/>
    <pivotField showAll="0"/>
    <pivotField showAll="0"/>
    <pivotField showAll="0">
      <items count="5">
        <item x="1"/>
        <item x="2"/>
        <item x="0"/>
        <item x="3"/>
        <item t="default"/>
      </items>
    </pivotField>
    <pivotField showAll="0"/>
    <pivotField showAll="0"/>
    <pivotField showAll="0"/>
    <pivotField showAll="0">
      <items count="3">
        <item x="0"/>
        <item x="1"/>
        <item t="default"/>
      </items>
    </pivotField>
    <pivotField showAll="0">
      <items count="3">
        <item x="1"/>
        <item x="0"/>
        <item t="default"/>
      </items>
    </pivotField>
  </pivotFields>
  <rowFields count="1">
    <field x="0"/>
  </rowFields>
  <rowItems count="4">
    <i>
      <x/>
    </i>
    <i>
      <x v="1"/>
    </i>
    <i>
      <x v="2"/>
    </i>
    <i t="grand">
      <x/>
    </i>
  </rowItems>
  <colFields count="1">
    <field x="11"/>
  </colFields>
  <colItems count="4">
    <i>
      <x/>
    </i>
    <i>
      <x v="1"/>
    </i>
    <i>
      <x v="2"/>
    </i>
    <i t="grand">
      <x/>
    </i>
  </colItems>
  <dataFields count="1">
    <dataField name="Sum of Number of products sold" fld="4" baseField="0" baseItem="0"/>
  </dataFields>
  <chartFormats count="24">
    <chartFormat chart="0" format="0" series="1">
      <pivotArea type="data" outline="0" fieldPosition="0">
        <references count="2">
          <reference field="4294967294" count="1" selected="0">
            <x v="0"/>
          </reference>
          <reference field="11" count="1" selected="0">
            <x v="0"/>
          </reference>
        </references>
      </pivotArea>
    </chartFormat>
    <chartFormat chart="0" format="1" series="1">
      <pivotArea type="data" outline="0" fieldPosition="0">
        <references count="2">
          <reference field="4294967294" count="1" selected="0">
            <x v="0"/>
          </reference>
          <reference field="11" count="1" selected="0">
            <x v="1"/>
          </reference>
        </references>
      </pivotArea>
    </chartFormat>
    <chartFormat chart="0" format="2" series="1">
      <pivotArea type="data" outline="0" fieldPosition="0">
        <references count="2">
          <reference field="4294967294" count="1" selected="0">
            <x v="0"/>
          </reference>
          <reference field="11" count="1" selected="0">
            <x v="2"/>
          </reference>
        </references>
      </pivotArea>
    </chartFormat>
    <chartFormat chart="4" format="15" series="1">
      <pivotArea type="data" outline="0" fieldPosition="0">
        <references count="2">
          <reference field="4294967294" count="1" selected="0">
            <x v="0"/>
          </reference>
          <reference field="11" count="1" selected="0">
            <x v="0"/>
          </reference>
        </references>
      </pivotArea>
    </chartFormat>
    <chartFormat chart="4" format="16">
      <pivotArea type="data" outline="0" fieldPosition="0">
        <references count="3">
          <reference field="4294967294" count="1" selected="0">
            <x v="0"/>
          </reference>
          <reference field="0" count="1" selected="0">
            <x v="0"/>
          </reference>
          <reference field="11" count="1" selected="0">
            <x v="0"/>
          </reference>
        </references>
      </pivotArea>
    </chartFormat>
    <chartFormat chart="4" format="17">
      <pivotArea type="data" outline="0" fieldPosition="0">
        <references count="3">
          <reference field="4294967294" count="1" selected="0">
            <x v="0"/>
          </reference>
          <reference field="0" count="1" selected="0">
            <x v="1"/>
          </reference>
          <reference field="11" count="1" selected="0">
            <x v="0"/>
          </reference>
        </references>
      </pivotArea>
    </chartFormat>
    <chartFormat chart="4" format="18">
      <pivotArea type="data" outline="0" fieldPosition="0">
        <references count="3">
          <reference field="4294967294" count="1" selected="0">
            <x v="0"/>
          </reference>
          <reference field="0" count="1" selected="0">
            <x v="2"/>
          </reference>
          <reference field="11" count="1" selected="0">
            <x v="0"/>
          </reference>
        </references>
      </pivotArea>
    </chartFormat>
    <chartFormat chart="4" format="19" series="1">
      <pivotArea type="data" outline="0" fieldPosition="0">
        <references count="2">
          <reference field="4294967294" count="1" selected="0">
            <x v="0"/>
          </reference>
          <reference field="11" count="1" selected="0">
            <x v="1"/>
          </reference>
        </references>
      </pivotArea>
    </chartFormat>
    <chartFormat chart="4" format="20">
      <pivotArea type="data" outline="0" fieldPosition="0">
        <references count="3">
          <reference field="4294967294" count="1" selected="0">
            <x v="0"/>
          </reference>
          <reference field="0" count="1" selected="0">
            <x v="0"/>
          </reference>
          <reference field="11" count="1" selected="0">
            <x v="1"/>
          </reference>
        </references>
      </pivotArea>
    </chartFormat>
    <chartFormat chart="4" format="21">
      <pivotArea type="data" outline="0" fieldPosition="0">
        <references count="3">
          <reference field="4294967294" count="1" selected="0">
            <x v="0"/>
          </reference>
          <reference field="0" count="1" selected="0">
            <x v="1"/>
          </reference>
          <reference field="11" count="1" selected="0">
            <x v="1"/>
          </reference>
        </references>
      </pivotArea>
    </chartFormat>
    <chartFormat chart="4" format="22">
      <pivotArea type="data" outline="0" fieldPosition="0">
        <references count="3">
          <reference field="4294967294" count="1" selected="0">
            <x v="0"/>
          </reference>
          <reference field="0" count="1" selected="0">
            <x v="2"/>
          </reference>
          <reference field="11" count="1" selected="0">
            <x v="1"/>
          </reference>
        </references>
      </pivotArea>
    </chartFormat>
    <chartFormat chart="4" format="23" series="1">
      <pivotArea type="data" outline="0" fieldPosition="0">
        <references count="2">
          <reference field="4294967294" count="1" selected="0">
            <x v="0"/>
          </reference>
          <reference field="11" count="1" selected="0">
            <x v="2"/>
          </reference>
        </references>
      </pivotArea>
    </chartFormat>
    <chartFormat chart="4" format="24">
      <pivotArea type="data" outline="0" fieldPosition="0">
        <references count="3">
          <reference field="4294967294" count="1" selected="0">
            <x v="0"/>
          </reference>
          <reference field="0" count="1" selected="0">
            <x v="0"/>
          </reference>
          <reference field="11" count="1" selected="0">
            <x v="2"/>
          </reference>
        </references>
      </pivotArea>
    </chartFormat>
    <chartFormat chart="4" format="25">
      <pivotArea type="data" outline="0" fieldPosition="0">
        <references count="3">
          <reference field="4294967294" count="1" selected="0">
            <x v="0"/>
          </reference>
          <reference field="0" count="1" selected="0">
            <x v="1"/>
          </reference>
          <reference field="11" count="1" selected="0">
            <x v="2"/>
          </reference>
        </references>
      </pivotArea>
    </chartFormat>
    <chartFormat chart="4" format="26">
      <pivotArea type="data" outline="0" fieldPosition="0">
        <references count="3">
          <reference field="4294967294" count="1" selected="0">
            <x v="0"/>
          </reference>
          <reference field="0" count="1" selected="0">
            <x v="2"/>
          </reference>
          <reference field="11" count="1" selected="0">
            <x v="2"/>
          </reference>
        </references>
      </pivotArea>
    </chartFormat>
    <chartFormat chart="0" format="3">
      <pivotArea type="data" outline="0" fieldPosition="0">
        <references count="3">
          <reference field="4294967294" count="1" selected="0">
            <x v="0"/>
          </reference>
          <reference field="0" count="1" selected="0">
            <x v="0"/>
          </reference>
          <reference field="11" count="1" selected="0">
            <x v="0"/>
          </reference>
        </references>
      </pivotArea>
    </chartFormat>
    <chartFormat chart="0" format="4">
      <pivotArea type="data" outline="0" fieldPosition="0">
        <references count="3">
          <reference field="4294967294" count="1" selected="0">
            <x v="0"/>
          </reference>
          <reference field="0" count="1" selected="0">
            <x v="1"/>
          </reference>
          <reference field="11" count="1" selected="0">
            <x v="0"/>
          </reference>
        </references>
      </pivotArea>
    </chartFormat>
    <chartFormat chart="0" format="5">
      <pivotArea type="data" outline="0" fieldPosition="0">
        <references count="3">
          <reference field="4294967294" count="1" selected="0">
            <x v="0"/>
          </reference>
          <reference field="0" count="1" selected="0">
            <x v="2"/>
          </reference>
          <reference field="11" count="1" selected="0">
            <x v="0"/>
          </reference>
        </references>
      </pivotArea>
    </chartFormat>
    <chartFormat chart="0" format="6">
      <pivotArea type="data" outline="0" fieldPosition="0">
        <references count="3">
          <reference field="4294967294" count="1" selected="0">
            <x v="0"/>
          </reference>
          <reference field="0" count="1" selected="0">
            <x v="0"/>
          </reference>
          <reference field="11" count="1" selected="0">
            <x v="1"/>
          </reference>
        </references>
      </pivotArea>
    </chartFormat>
    <chartFormat chart="0" format="7">
      <pivotArea type="data" outline="0" fieldPosition="0">
        <references count="3">
          <reference field="4294967294" count="1" selected="0">
            <x v="0"/>
          </reference>
          <reference field="0" count="1" selected="0">
            <x v="1"/>
          </reference>
          <reference field="11" count="1" selected="0">
            <x v="1"/>
          </reference>
        </references>
      </pivotArea>
    </chartFormat>
    <chartFormat chart="0" format="8">
      <pivotArea type="data" outline="0" fieldPosition="0">
        <references count="3">
          <reference field="4294967294" count="1" selected="0">
            <x v="0"/>
          </reference>
          <reference field="0" count="1" selected="0">
            <x v="2"/>
          </reference>
          <reference field="11" count="1" selected="0">
            <x v="1"/>
          </reference>
        </references>
      </pivotArea>
    </chartFormat>
    <chartFormat chart="0" format="9">
      <pivotArea type="data" outline="0" fieldPosition="0">
        <references count="3">
          <reference field="4294967294" count="1" selected="0">
            <x v="0"/>
          </reference>
          <reference field="0" count="1" selected="0">
            <x v="0"/>
          </reference>
          <reference field="11" count="1" selected="0">
            <x v="2"/>
          </reference>
        </references>
      </pivotArea>
    </chartFormat>
    <chartFormat chart="0" format="10">
      <pivotArea type="data" outline="0" fieldPosition="0">
        <references count="3">
          <reference field="4294967294" count="1" selected="0">
            <x v="0"/>
          </reference>
          <reference field="0" count="1" selected="0">
            <x v="1"/>
          </reference>
          <reference field="11" count="1" selected="0">
            <x v="2"/>
          </reference>
        </references>
      </pivotArea>
    </chartFormat>
    <chartFormat chart="0" format="11">
      <pivotArea type="data" outline="0" fieldPosition="0">
        <references count="3">
          <reference field="4294967294" count="1" selected="0">
            <x v="0"/>
          </reference>
          <reference field="0" count="1" selected="0">
            <x v="2"/>
          </reference>
          <reference field="1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ED3025-8DD6-4324-A942-B85A77D8DB9F}"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53:F58" firstHeaderRow="1" firstDataRow="2" firstDataCol="1"/>
  <pivotFields count="27">
    <pivotField axis="axisRow" showAll="0">
      <items count="4">
        <item x="2"/>
        <item x="0"/>
        <item x="1"/>
        <item t="default"/>
      </items>
    </pivotField>
    <pivotField showAll="0">
      <items count="101">
        <item x="0"/>
        <item x="1"/>
        <item x="10"/>
        <item x="11"/>
        <item x="12"/>
        <item x="13"/>
        <item x="14"/>
        <item x="15"/>
        <item x="16"/>
        <item x="17"/>
        <item x="18"/>
        <item x="19"/>
        <item x="2"/>
        <item x="20"/>
        <item x="21"/>
        <item x="22"/>
        <item x="23"/>
        <item x="24"/>
        <item x="25"/>
        <item x="26"/>
        <item x="27"/>
        <item x="28"/>
        <item x="29"/>
        <item x="3"/>
        <item x="30"/>
        <item x="31"/>
        <item x="32"/>
        <item x="33"/>
        <item x="34"/>
        <item x="35"/>
        <item x="36"/>
        <item x="37"/>
        <item x="38"/>
        <item x="39"/>
        <item x="4"/>
        <item x="40"/>
        <item x="41"/>
        <item x="42"/>
        <item x="43"/>
        <item x="44"/>
        <item x="45"/>
        <item x="46"/>
        <item x="47"/>
        <item x="48"/>
        <item x="49"/>
        <item x="5"/>
        <item x="50"/>
        <item x="51"/>
        <item x="52"/>
        <item x="53"/>
        <item x="54"/>
        <item x="55"/>
        <item x="56"/>
        <item x="57"/>
        <item x="58"/>
        <item x="59"/>
        <item x="6"/>
        <item x="60"/>
        <item x="61"/>
        <item x="62"/>
        <item x="63"/>
        <item x="64"/>
        <item x="65"/>
        <item x="66"/>
        <item x="67"/>
        <item x="68"/>
        <item x="69"/>
        <item x="7"/>
        <item x="70"/>
        <item x="71"/>
        <item x="72"/>
        <item x="73"/>
        <item x="74"/>
        <item x="75"/>
        <item x="76"/>
        <item x="77"/>
        <item x="78"/>
        <item x="79"/>
        <item x="8"/>
        <item x="80"/>
        <item x="81"/>
        <item x="82"/>
        <item x="83"/>
        <item x="84"/>
        <item x="85"/>
        <item x="86"/>
        <item x="87"/>
        <item x="88"/>
        <item x="89"/>
        <item x="9"/>
        <item x="90"/>
        <item x="91"/>
        <item x="92"/>
        <item x="93"/>
        <item x="94"/>
        <item x="95"/>
        <item x="96"/>
        <item x="97"/>
        <item x="98"/>
        <item x="99"/>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5">
        <item x="1"/>
        <item x="2"/>
        <item x="0"/>
        <item x="3"/>
        <item t="default"/>
      </items>
    </pivotField>
    <pivotField showAll="0"/>
    <pivotField showAll="0"/>
    <pivotField showAll="0"/>
    <pivotField showAll="0"/>
    <pivotField showAll="0"/>
  </pivotFields>
  <rowFields count="1">
    <field x="0"/>
  </rowFields>
  <rowItems count="4">
    <i>
      <x/>
    </i>
    <i>
      <x v="1"/>
    </i>
    <i>
      <x v="2"/>
    </i>
    <i t="grand">
      <x/>
    </i>
  </rowItems>
  <colFields count="1">
    <field x="21"/>
  </colFields>
  <colItems count="5">
    <i>
      <x/>
    </i>
    <i>
      <x v="1"/>
    </i>
    <i>
      <x v="2"/>
    </i>
    <i>
      <x v="3"/>
    </i>
    <i t="grand">
      <x/>
    </i>
  </colItems>
  <dataFields count="1">
    <dataField name="Sum of Number of products sold" fld="4" baseField="0" baseItem="0"/>
  </dataFields>
  <chartFormats count="8">
    <chartFormat chart="0" format="0" series="1">
      <pivotArea type="data" outline="0" fieldPosition="0">
        <references count="2">
          <reference field="4294967294" count="1" selected="0">
            <x v="0"/>
          </reference>
          <reference field="21" count="1" selected="0">
            <x v="0"/>
          </reference>
        </references>
      </pivotArea>
    </chartFormat>
    <chartFormat chart="0" format="1" series="1">
      <pivotArea type="data" outline="0" fieldPosition="0">
        <references count="2">
          <reference field="4294967294" count="1" selected="0">
            <x v="0"/>
          </reference>
          <reference field="21" count="1" selected="0">
            <x v="1"/>
          </reference>
        </references>
      </pivotArea>
    </chartFormat>
    <chartFormat chart="0" format="2" series="1">
      <pivotArea type="data" outline="0" fieldPosition="0">
        <references count="2">
          <reference field="4294967294" count="1" selected="0">
            <x v="0"/>
          </reference>
          <reference field="21" count="1" selected="0">
            <x v="2"/>
          </reference>
        </references>
      </pivotArea>
    </chartFormat>
    <chartFormat chart="0" format="3" series="1">
      <pivotArea type="data" outline="0" fieldPosition="0">
        <references count="2">
          <reference field="4294967294" count="1" selected="0">
            <x v="0"/>
          </reference>
          <reference field="21" count="1" selected="0">
            <x v="3"/>
          </reference>
        </references>
      </pivotArea>
    </chartFormat>
    <chartFormat chart="6" format="8" series="1">
      <pivotArea type="data" outline="0" fieldPosition="0">
        <references count="2">
          <reference field="4294967294" count="1" selected="0">
            <x v="0"/>
          </reference>
          <reference field="21" count="1" selected="0">
            <x v="0"/>
          </reference>
        </references>
      </pivotArea>
    </chartFormat>
    <chartFormat chart="6" format="9" series="1">
      <pivotArea type="data" outline="0" fieldPosition="0">
        <references count="2">
          <reference field="4294967294" count="1" selected="0">
            <x v="0"/>
          </reference>
          <reference field="21" count="1" selected="0">
            <x v="1"/>
          </reference>
        </references>
      </pivotArea>
    </chartFormat>
    <chartFormat chart="6" format="10" series="1">
      <pivotArea type="data" outline="0" fieldPosition="0">
        <references count="2">
          <reference field="4294967294" count="1" selected="0">
            <x v="0"/>
          </reference>
          <reference field="21" count="1" selected="0">
            <x v="2"/>
          </reference>
        </references>
      </pivotArea>
    </chartFormat>
    <chartFormat chart="6" format="11" series="1">
      <pivotArea type="data" outline="0" fieldPosition="0">
        <references count="2">
          <reference field="4294967294" count="1" selected="0">
            <x v="0"/>
          </reference>
          <reference field="21"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BD96C0D-823F-419C-9BA1-C872079A6E18}"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35:E41" firstHeaderRow="1" firstDataRow="2" firstDataCol="1"/>
  <pivotFields count="27">
    <pivotField axis="axisCol" showAll="0">
      <items count="4">
        <item x="2"/>
        <item x="0"/>
        <item x="1"/>
        <item t="default"/>
      </items>
    </pivotField>
    <pivotField showAll="0"/>
    <pivotField showAll="0"/>
    <pivotField showAll="0"/>
    <pivotField showAll="0"/>
    <pivotField showAll="0"/>
    <pivotField axis="axisRow" showAll="0">
      <items count="5">
        <item x="1"/>
        <item x="3"/>
        <item x="0"/>
        <item x="2"/>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6"/>
  </rowFields>
  <rowItems count="5">
    <i>
      <x/>
    </i>
    <i>
      <x v="1"/>
    </i>
    <i>
      <x v="2"/>
    </i>
    <i>
      <x v="3"/>
    </i>
    <i t="grand">
      <x/>
    </i>
  </rowItems>
  <colFields count="1">
    <field x="0"/>
  </colFields>
  <colItems count="4">
    <i>
      <x/>
    </i>
    <i>
      <x v="1"/>
    </i>
    <i>
      <x v="2"/>
    </i>
    <i t="grand">
      <x/>
    </i>
  </colItems>
  <dataFields count="1">
    <dataField name="Sum of Order quantities" fld="9" baseField="0" baseItem="0"/>
  </dataFields>
  <chartFormats count="6">
    <chartFormat chart="0" format="0" series="1">
      <pivotArea type="data" outline="0" fieldPosition="0">
        <references count="2">
          <reference field="4294967294" count="1" selected="0">
            <x v="0"/>
          </reference>
          <reference field="0" count="1" selected="0">
            <x v="0"/>
          </reference>
        </references>
      </pivotArea>
    </chartFormat>
    <chartFormat chart="0" format="1" series="1">
      <pivotArea type="data" outline="0" fieldPosition="0">
        <references count="2">
          <reference field="4294967294" count="1" selected="0">
            <x v="0"/>
          </reference>
          <reference field="0" count="1" selected="0">
            <x v="1"/>
          </reference>
        </references>
      </pivotArea>
    </chartFormat>
    <chartFormat chart="0" format="2" series="1">
      <pivotArea type="data" outline="0" fieldPosition="0">
        <references count="2">
          <reference field="4294967294" count="1" selected="0">
            <x v="0"/>
          </reference>
          <reference field="0" count="1" selected="0">
            <x v="2"/>
          </reference>
        </references>
      </pivotArea>
    </chartFormat>
    <chartFormat chart="11" format="6" series="1">
      <pivotArea type="data" outline="0" fieldPosition="0">
        <references count="2">
          <reference field="4294967294" count="1" selected="0">
            <x v="0"/>
          </reference>
          <reference field="0" count="1" selected="0">
            <x v="0"/>
          </reference>
        </references>
      </pivotArea>
    </chartFormat>
    <chartFormat chart="11" format="7" series="1">
      <pivotArea type="data" outline="0" fieldPosition="0">
        <references count="2">
          <reference field="4294967294" count="1" selected="0">
            <x v="0"/>
          </reference>
          <reference field="0" count="1" selected="0">
            <x v="1"/>
          </reference>
        </references>
      </pivotArea>
    </chartFormat>
    <chartFormat chart="11" format="8" series="1">
      <pivotArea type="data" outline="0" fieldPosition="0">
        <references count="2">
          <reference field="4294967294" count="1" selected="0">
            <x v="0"/>
          </reference>
          <reference field="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82469A9-B041-47FE-8B74-373A7A5DD659}"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17:D22" firstHeaderRow="1" firstDataRow="2" firstDataCol="1"/>
  <pivotFields count="27">
    <pivotField axis="axisRow" showAll="0">
      <items count="4">
        <item x="2"/>
        <item x="0"/>
        <item x="1"/>
        <item t="default"/>
      </items>
    </pivotField>
    <pivotField showAll="0"/>
    <pivotField showAll="0"/>
    <pivotField showAll="0"/>
    <pivotField dataField="1" showAll="0"/>
    <pivotField showAll="0"/>
    <pivotField showAll="0">
      <items count="5">
        <item x="1"/>
        <item x="3"/>
        <item x="0"/>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5">
        <item x="1"/>
        <item x="2"/>
        <item x="0"/>
        <item x="3"/>
        <item t="default"/>
      </items>
    </pivotField>
    <pivotField showAll="0">
      <items count="4">
        <item x="2"/>
        <item x="0"/>
        <item x="1"/>
        <item t="default"/>
      </items>
    </pivotField>
    <pivotField showAll="0"/>
    <pivotField showAll="0"/>
    <pivotField axis="axisCol" showAll="0">
      <items count="3">
        <item x="0"/>
        <item x="1"/>
        <item t="default"/>
      </items>
    </pivotField>
    <pivotField showAll="0">
      <items count="3">
        <item x="1"/>
        <item x="0"/>
        <item t="default"/>
      </items>
    </pivotField>
  </pivotFields>
  <rowFields count="1">
    <field x="0"/>
  </rowFields>
  <rowItems count="4">
    <i>
      <x/>
    </i>
    <i>
      <x v="1"/>
    </i>
    <i>
      <x v="2"/>
    </i>
    <i t="grand">
      <x/>
    </i>
  </rowItems>
  <colFields count="1">
    <field x="25"/>
  </colFields>
  <colItems count="3">
    <i>
      <x/>
    </i>
    <i>
      <x v="1"/>
    </i>
    <i t="grand">
      <x/>
    </i>
  </colItems>
  <dataFields count="1">
    <dataField name="Sum of Number of products sold" fld="4" baseField="0" baseItem="0"/>
  </dataFields>
  <chartFormats count="5">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2">
          <reference field="4294967294" count="1" selected="0">
            <x v="0"/>
          </reference>
          <reference field="25" count="1" selected="0">
            <x v="1"/>
          </reference>
        </references>
      </pivotArea>
    </chartFormat>
    <chartFormat chart="1" format="4" series="1">
      <pivotArea type="data" outline="0" fieldPosition="0">
        <references count="2">
          <reference field="4294967294" count="1" selected="0">
            <x v="0"/>
          </reference>
          <reference field="25" count="1" selected="0">
            <x v="0"/>
          </reference>
        </references>
      </pivotArea>
    </chartFormat>
    <chartFormat chart="9" format="7" series="1">
      <pivotArea type="data" outline="0" fieldPosition="0">
        <references count="2">
          <reference field="4294967294" count="1" selected="0">
            <x v="0"/>
          </reference>
          <reference field="25" count="1" selected="0">
            <x v="0"/>
          </reference>
        </references>
      </pivotArea>
    </chartFormat>
    <chartFormat chart="9" format="8" series="1">
      <pivotArea type="data" outline="0" fieldPosition="0">
        <references count="2">
          <reference field="4294967294" count="1" selected="0">
            <x v="0"/>
          </reference>
          <reference field="2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ED1B2264-1833-4534-9A1E-6021B6BE891B}"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1:C5" firstHeaderRow="0" firstDataRow="1" firstDataCol="1"/>
  <pivotFields count="27">
    <pivotField axis="axisRow" showAll="0">
      <items count="4">
        <item x="2"/>
        <item x="0"/>
        <item x="1"/>
        <item t="default"/>
      </items>
    </pivotField>
    <pivotField showAll="0"/>
    <pivotField showAll="0"/>
    <pivotField showAll="0"/>
    <pivotField showAll="0"/>
    <pivotField showAll="0"/>
    <pivotField showAll="0"/>
    <pivotField dataField="1" showAll="0">
      <items count="66">
        <item x="50"/>
        <item x="2"/>
        <item x="15"/>
        <item x="23"/>
        <item x="4"/>
        <item x="28"/>
        <item x="14"/>
        <item x="17"/>
        <item x="6"/>
        <item x="49"/>
        <item x="37"/>
        <item x="8"/>
        <item x="58"/>
        <item x="54"/>
        <item x="53"/>
        <item x="31"/>
        <item x="35"/>
        <item x="3"/>
        <item x="32"/>
        <item x="19"/>
        <item x="39"/>
        <item x="41"/>
        <item x="45"/>
        <item x="43"/>
        <item x="36"/>
        <item x="55"/>
        <item x="56"/>
        <item x="44"/>
        <item x="30"/>
        <item x="16"/>
        <item x="10"/>
        <item x="26"/>
        <item x="18"/>
        <item x="9"/>
        <item x="1"/>
        <item x="13"/>
        <item x="64"/>
        <item x="48"/>
        <item x="0"/>
        <item x="25"/>
        <item x="27"/>
        <item x="61"/>
        <item x="34"/>
        <item x="57"/>
        <item x="59"/>
        <item x="63"/>
        <item x="20"/>
        <item x="21"/>
        <item x="47"/>
        <item x="52"/>
        <item x="62"/>
        <item x="33"/>
        <item x="12"/>
        <item x="24"/>
        <item x="22"/>
        <item x="46"/>
        <item x="29"/>
        <item x="5"/>
        <item x="38"/>
        <item x="7"/>
        <item x="51"/>
        <item x="42"/>
        <item x="40"/>
        <item x="60"/>
        <item x="1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s>
  <rowFields count="1">
    <field x="0"/>
  </rowFields>
  <rowItems count="4">
    <i>
      <x/>
    </i>
    <i>
      <x v="1"/>
    </i>
    <i>
      <x v="2"/>
    </i>
    <i t="grand">
      <x/>
    </i>
  </rowItems>
  <colFields count="1">
    <field x="-2"/>
  </colFields>
  <colItems count="2">
    <i>
      <x/>
    </i>
    <i i="1">
      <x v="1"/>
    </i>
  </colItems>
  <dataFields count="2">
    <dataField name="Sum of Profit" fld="24" baseField="0" baseItem="0" numFmtId="1"/>
    <dataField name="Sum of Stock levels" fld="7" baseField="0" baseItem="0"/>
  </dataFields>
  <formats count="1">
    <format dxfId="0">
      <pivotArea outline="0" collapsedLevelsAreSubtotals="1" fieldPosition="0">
        <references count="1">
          <reference field="4294967294" count="1" selected="0">
            <x v="0"/>
          </reference>
        </references>
      </pivotArea>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type" xr10:uid="{FDC5CAC1-773F-4683-A911-022D38A1CE3A}" sourceName="Product type">
  <pivotTables>
    <pivotTable tabId="2" name="PivotTable5"/>
  </pivotTables>
  <data>
    <tabular pivotCacheId="1280937329">
      <items count="3">
        <i x="2" s="1"/>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demographics" xr10:uid="{7B1247A3-1F3A-4ACF-9893-41E754D6039D}" sourceName="Customer demographics">
  <pivotTables>
    <pivotTable tabId="2" name="PivotTable5"/>
  </pivotTables>
  <data>
    <tabular pivotCacheId="1280937329">
      <items count="4">
        <i x="1" s="1"/>
        <i x="3" s="1"/>
        <i x="0"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ransportation_modes" xr10:uid="{F5F26F1D-FBFB-4E26-88C8-EC365F1094F5}" sourceName="Transportation modes">
  <pivotTables>
    <pivotTable tabId="2" name="PivotTable5"/>
  </pivotTables>
  <data>
    <tabular pivotCacheId="1280937329">
      <items count="4">
        <i x="1" s="1"/>
        <i x="2" s="1"/>
        <i x="0" s="1"/>
        <i x="3"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ventory_Status" xr10:uid="{2646766D-3824-4B92-AA3A-69E0B03AB87E}" sourceName="Inventory Status">
  <pivotTables>
    <pivotTable tabId="2" name="PivotTable5"/>
  </pivotTables>
  <data>
    <tabular pivotCacheId="1280937329">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livery_Status" xr10:uid="{68698E5B-5C0F-4D42-99F5-7996B3854065}" sourceName="Delivery Status">
  <pivotTables>
    <pivotTable tabId="2" name="PivotTable5"/>
  </pivotTables>
  <data>
    <tabular pivotCacheId="1280937329">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type" xr10:uid="{C2ED5053-34BE-45D4-8843-4DAEB989C994}" cache="Slicer_Product_type" caption="Product type" rowHeight="234950"/>
  <slicer name="Customer demographics" xr10:uid="{8836EE3F-8C30-4B42-B666-1B2F829602E7}" cache="Slicer_Customer_demographics" caption="Customer demographics" rowHeight="234950"/>
  <slicer name="Transportation modes" xr10:uid="{F2E5DC0F-0C07-40D2-8D4E-E74B5E4D3F2E}" cache="Slicer_Transportation_modes" caption="Transportation modes" rowHeight="234950"/>
  <slicer name="Inventory Status" xr10:uid="{F5226FBA-E9DE-45E4-87E3-7C85EEB8D237}" cache="Slicer_Inventory_Status" caption="Inventory Status" rowHeight="234950"/>
  <slicer name="Delivery Status" xr10:uid="{5E201987-75D9-4A5A-9F04-816472DE8DE8}" cache="Slicer_Delivery_Status" caption="Delivery Status"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type 1" xr10:uid="{1A8C8A4B-5877-4A37-AEC0-7320F8666B0C}" cache="Slicer_Product_type" caption="Product type" style="SlicerStyleLight6" rowHeight="234950"/>
  <slicer name="Customer demographics 1" xr10:uid="{91076B84-DBCF-46D4-99D8-EDD29D5B17BD}" cache="Slicer_Customer_demographics" caption="Customer demographics" style="SlicerStyleLight6" rowHeight="234950"/>
  <slicer name="Transportation modes 1" xr10:uid="{25239D69-C32C-44EF-9E18-9C62D10D2229}" cache="Slicer_Transportation_modes" caption="Transportation modes" style="SlicerStyleLight6" rowHeight="234950"/>
  <slicer name="Inventory Status 1" xr10:uid="{73B41E89-338C-4FCF-9D52-AABC11C95B74}" cache="Slicer_Inventory_Status" caption="Inventory Status" style="SlicerStyleLight6" rowHeight="234950"/>
  <slicer name="Delivery Status 1" xr10:uid="{99AFC5BC-CB09-4D50-8EB9-22C4DDCE20D4}" cache="Slicer_Delivery_Status" caption="Delivery Status" style="SlicerStyleLight6"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6431A95-C7D1-4EEC-9FDC-6BE72245052B}" name="SupplyChainTable" displayName="SupplyChainTable" ref="A1:AA101" totalsRowShown="0" headerRowDxfId="29" tableBorderDxfId="28">
  <autoFilter ref="A1:AA101" xr:uid="{46431A95-C7D1-4EEC-9FDC-6BE72245052B}"/>
  <tableColumns count="27">
    <tableColumn id="1" xr3:uid="{E3427ED2-5E6D-4E6A-A8F5-DE207888331D}" name="Product type" dataDxfId="27"/>
    <tableColumn id="2" xr3:uid="{6A34390B-53A4-4C7A-BB9B-8B8F5FB97B4E}" name="SKU" dataDxfId="26"/>
    <tableColumn id="3" xr3:uid="{104C47D7-FCB2-4C89-A7AC-BA344A51F6AB}" name="Price" dataDxfId="25"/>
    <tableColumn id="4" xr3:uid="{41F08ABF-8A7E-4A5E-B60C-515D425DCB05}" name="Availability" dataDxfId="24"/>
    <tableColumn id="5" xr3:uid="{D9C26F58-8B62-47DF-B2F1-454385FE25AF}" name="Number of products sold" dataDxfId="23"/>
    <tableColumn id="6" xr3:uid="{0EC2BA38-4D74-4202-B4A6-4F58590853A7}" name="Revenue generated" dataDxfId="22"/>
    <tableColumn id="7" xr3:uid="{E96FD8C6-10C0-4B6F-A937-384F6D7B12F6}" name="Customer demographics" dataDxfId="21"/>
    <tableColumn id="8" xr3:uid="{FCC8BD3C-ADAA-4B93-B3E9-8EA90C23D575}" name="Stock levels" dataDxfId="20"/>
    <tableColumn id="9" xr3:uid="{256B9D15-84BD-479E-A7A9-CBFB00848764}" name="Lead times" dataDxfId="19"/>
    <tableColumn id="10" xr3:uid="{5A6C6314-1C4B-42C1-B099-8F6D51A0FAED}" name="Order quantities" dataDxfId="18"/>
    <tableColumn id="11" xr3:uid="{CEEAB526-F83E-4099-A433-17A6A9821E6A}" name="Shipping times" dataDxfId="17"/>
    <tableColumn id="12" xr3:uid="{91B92964-ABEE-4C18-A8B5-44A51B765A59}" name="Shipping carriers" dataDxfId="16"/>
    <tableColumn id="13" xr3:uid="{69160E9F-21D7-4243-B36D-8106F74541DC}" name="Shipping costs" dataDxfId="15"/>
    <tableColumn id="14" xr3:uid="{BEB4E6D0-8874-451B-AB43-EBAEB1620F15}" name="Supplier name" dataDxfId="14"/>
    <tableColumn id="15" xr3:uid="{BBB60A15-C965-4213-8C4A-27A7AB9AD660}" name="Location" dataDxfId="13"/>
    <tableColumn id="16" xr3:uid="{EF377085-41CC-461F-BE0A-4BBCD2275211}" name="Lead time" dataDxfId="12"/>
    <tableColumn id="17" xr3:uid="{3BF3A4EB-8CA5-411E-A6FE-63A63DBC954D}" name="Production volumes" dataDxfId="11"/>
    <tableColumn id="18" xr3:uid="{A5AB8669-E2B2-4278-A2BE-3731C049DB1D}" name="Manufacturing lead time" dataDxfId="10"/>
    <tableColumn id="19" xr3:uid="{2BE3B07C-9C80-4490-B496-10701FE15829}" name="Manufacturing costs" dataDxfId="9"/>
    <tableColumn id="20" xr3:uid="{D7E2553C-0F7D-4832-96C0-7BDCEAD6B607}" name="Inspection results" dataDxfId="8"/>
    <tableColumn id="21" xr3:uid="{658D9BB8-8C18-463B-936D-2229FC5ACAD2}" name="Defect rates" dataDxfId="7"/>
    <tableColumn id="22" xr3:uid="{E0580C98-8279-4BB6-9C4D-1774407CF356}" name="Transportation modes" dataDxfId="6"/>
    <tableColumn id="23" xr3:uid="{720AD2C8-2CCC-4EC1-890C-6E3BD9623C58}" name="Routes" dataDxfId="5"/>
    <tableColumn id="24" xr3:uid="{511CBFE3-0229-40CE-BDEE-CB5BFA751297}" name="Costs" dataDxfId="4"/>
    <tableColumn id="25" xr3:uid="{7E29883C-49AA-4CD7-B4E2-151D15B0572A}" name="Profit" dataDxfId="3">
      <calculatedColumnFormula>supply_chain_data!$F2-supply_chain_data!$X2</calculatedColumnFormula>
    </tableColumn>
    <tableColumn id="26" xr3:uid="{8233A79D-B42F-4619-9505-775D625B35DA}" name="Inventory Status" dataDxfId="2">
      <calculatedColumnFormula>IF(supply_chain_data!$H2&lt;20,"Low Stock","Available")</calculatedColumnFormula>
    </tableColumn>
    <tableColumn id="27" xr3:uid="{EEAEA7C1-4A09-4FA3-A063-78D2B9CB4423}" name="Delivery Status" dataDxfId="1">
      <calculatedColumnFormula>IF(supply_chain_data!$K2&gt;7,"Delayed","On Time")</calculatedColumnFormula>
    </tableColumn>
  </tableColumns>
  <tableStyleInfo name="TableStyleMedium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7"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3FFFC6-C990-40BA-98D6-DE4DB3A04F12}">
  <sheetPr codeName="Sheet1"/>
  <dimension ref="A1:AA101"/>
  <sheetViews>
    <sheetView workbookViewId="0">
      <selection activeCell="AA3" sqref="AA3"/>
    </sheetView>
  </sheetViews>
  <sheetFormatPr defaultRowHeight="14.4" x14ac:dyDescent="0.3"/>
  <cols>
    <col min="1" max="1" width="16.33203125" bestFit="1" customWidth="1"/>
    <col min="3" max="3" width="12" bestFit="1" customWidth="1"/>
    <col min="4" max="4" width="14.6640625" bestFit="1" customWidth="1"/>
    <col min="5" max="5" width="26.6640625" bestFit="1" customWidth="1"/>
    <col min="6" max="6" width="22" bestFit="1" customWidth="1"/>
    <col min="7" max="7" width="26.21875" bestFit="1" customWidth="1"/>
    <col min="8" max="8" width="15.21875" bestFit="1" customWidth="1"/>
    <col min="9" max="9" width="14.44140625" bestFit="1" customWidth="1"/>
    <col min="10" max="10" width="19.109375" bestFit="1" customWidth="1"/>
    <col min="11" max="11" width="17.88671875" bestFit="1" customWidth="1"/>
    <col min="12" max="12" width="19.44140625" bestFit="1" customWidth="1"/>
    <col min="13" max="13" width="17.5546875" bestFit="1" customWidth="1"/>
    <col min="14" max="14" width="17.6640625" bestFit="1" customWidth="1"/>
    <col min="15" max="15" width="12.6640625" bestFit="1" customWidth="1"/>
    <col min="16" max="16" width="13.6640625" bestFit="1" customWidth="1"/>
    <col min="17" max="17" width="22.5546875" bestFit="1" customWidth="1"/>
    <col min="18" max="18" width="26.5546875" bestFit="1" customWidth="1"/>
    <col min="19" max="19" width="22.88671875" bestFit="1" customWidth="1"/>
    <col min="20" max="20" width="20.21875" bestFit="1" customWidth="1"/>
    <col min="21" max="21" width="15.44140625" bestFit="1" customWidth="1"/>
    <col min="22" max="22" width="24.21875" bestFit="1" customWidth="1"/>
    <col min="23" max="23" width="11.21875" bestFit="1" customWidth="1"/>
    <col min="24" max="25" width="12" bestFit="1" customWidth="1"/>
    <col min="26" max="26" width="19.44140625" bestFit="1" customWidth="1"/>
    <col min="27" max="27" width="18" bestFit="1" customWidth="1"/>
  </cols>
  <sheetData>
    <row r="1" spans="1:27" x14ac:dyDescent="0.3">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154</v>
      </c>
      <c r="Z1" s="1" t="s">
        <v>155</v>
      </c>
      <c r="AA1" s="1" t="s">
        <v>156</v>
      </c>
    </row>
    <row r="2" spans="1:27" x14ac:dyDescent="0.3">
      <c r="A2" s="2" t="s">
        <v>24</v>
      </c>
      <c r="B2" s="2" t="s">
        <v>25</v>
      </c>
      <c r="C2" s="2">
        <v>69.808005539999996</v>
      </c>
      <c r="D2" s="2">
        <v>55</v>
      </c>
      <c r="E2" s="2">
        <v>802</v>
      </c>
      <c r="F2" s="2">
        <v>8661.9967919999999</v>
      </c>
      <c r="G2" s="2" t="s">
        <v>26</v>
      </c>
      <c r="H2" s="2">
        <v>58</v>
      </c>
      <c r="I2" s="2">
        <v>7</v>
      </c>
      <c r="J2" s="2">
        <v>96</v>
      </c>
      <c r="K2" s="2">
        <v>4</v>
      </c>
      <c r="L2" s="2" t="s">
        <v>27</v>
      </c>
      <c r="M2" s="2">
        <v>2.9565721389999999</v>
      </c>
      <c r="N2" s="2" t="s">
        <v>28</v>
      </c>
      <c r="O2" s="2" t="s">
        <v>29</v>
      </c>
      <c r="P2" s="2">
        <v>29</v>
      </c>
      <c r="Q2" s="2">
        <v>215</v>
      </c>
      <c r="R2" s="2">
        <v>29</v>
      </c>
      <c r="S2" s="2">
        <v>46.27987924</v>
      </c>
      <c r="T2" s="2" t="s">
        <v>30</v>
      </c>
      <c r="U2" s="2">
        <v>0.226410361</v>
      </c>
      <c r="V2" s="2" t="s">
        <v>31</v>
      </c>
      <c r="W2" s="2" t="s">
        <v>32</v>
      </c>
      <c r="X2" s="2">
        <v>187.75207549999999</v>
      </c>
      <c r="Y2" s="2">
        <f>supply_chain_data!$F2-supply_chain_data!$X2</f>
        <v>8474.2447164999994</v>
      </c>
      <c r="Z2" s="2" t="str">
        <f>IF(supply_chain_data!$H2&lt;20,"Low Stock","Available")</f>
        <v>Available</v>
      </c>
      <c r="AA2" s="2" t="str">
        <f>IF(supply_chain_data!$K2&gt;7,"Delayed","On Time")</f>
        <v>On Time</v>
      </c>
    </row>
    <row r="3" spans="1:27" x14ac:dyDescent="0.3">
      <c r="A3" s="3" t="s">
        <v>33</v>
      </c>
      <c r="B3" s="3" t="s">
        <v>34</v>
      </c>
      <c r="C3" s="3">
        <v>14.843523279999999</v>
      </c>
      <c r="D3" s="3">
        <v>95</v>
      </c>
      <c r="E3" s="3">
        <v>736</v>
      </c>
      <c r="F3" s="3">
        <v>7460.9000649999998</v>
      </c>
      <c r="G3" s="3" t="s">
        <v>35</v>
      </c>
      <c r="H3" s="3">
        <v>53</v>
      </c>
      <c r="I3" s="3">
        <v>30</v>
      </c>
      <c r="J3" s="3">
        <v>37</v>
      </c>
      <c r="K3" s="3">
        <v>2</v>
      </c>
      <c r="L3" s="3" t="s">
        <v>36</v>
      </c>
      <c r="M3" s="3">
        <v>9.7165747709999994</v>
      </c>
      <c r="N3" s="3" t="s">
        <v>28</v>
      </c>
      <c r="O3" s="3" t="s">
        <v>29</v>
      </c>
      <c r="P3" s="3">
        <v>23</v>
      </c>
      <c r="Q3" s="3">
        <v>517</v>
      </c>
      <c r="R3" s="3">
        <v>30</v>
      </c>
      <c r="S3" s="3">
        <v>33.616768950000001</v>
      </c>
      <c r="T3" s="3" t="s">
        <v>30</v>
      </c>
      <c r="U3" s="3">
        <v>4.8540680260000002</v>
      </c>
      <c r="V3" s="3" t="s">
        <v>31</v>
      </c>
      <c r="W3" s="3" t="s">
        <v>32</v>
      </c>
      <c r="X3" s="3">
        <v>503.06557909999998</v>
      </c>
      <c r="Y3" s="3">
        <f>supply_chain_data!$F3-supply_chain_data!$X3</f>
        <v>6957.8344858999999</v>
      </c>
      <c r="Z3" s="3" t="str">
        <f>IF(supply_chain_data!$H3&lt;20,"Low Stock","Available")</f>
        <v>Available</v>
      </c>
      <c r="AA3" s="3" t="str">
        <f>IF(supply_chain_data!$K3&gt;7,"Delayed","On Time")</f>
        <v>On Time</v>
      </c>
    </row>
    <row r="4" spans="1:27" x14ac:dyDescent="0.3">
      <c r="A4" s="2" t="s">
        <v>24</v>
      </c>
      <c r="B4" s="2" t="s">
        <v>37</v>
      </c>
      <c r="C4" s="2">
        <v>11.31968329</v>
      </c>
      <c r="D4" s="2">
        <v>34</v>
      </c>
      <c r="E4" s="2">
        <v>8</v>
      </c>
      <c r="F4" s="2">
        <v>9577.7496260000007</v>
      </c>
      <c r="G4" s="2" t="s">
        <v>38</v>
      </c>
      <c r="H4" s="2">
        <v>1</v>
      </c>
      <c r="I4" s="2">
        <v>10</v>
      </c>
      <c r="J4" s="2">
        <v>88</v>
      </c>
      <c r="K4" s="2">
        <v>2</v>
      </c>
      <c r="L4" s="2" t="s">
        <v>27</v>
      </c>
      <c r="M4" s="2">
        <v>8.0544792619999992</v>
      </c>
      <c r="N4" s="2" t="s">
        <v>39</v>
      </c>
      <c r="O4" s="2" t="s">
        <v>29</v>
      </c>
      <c r="P4" s="2">
        <v>12</v>
      </c>
      <c r="Q4" s="2">
        <v>971</v>
      </c>
      <c r="R4" s="2">
        <v>27</v>
      </c>
      <c r="S4" s="2">
        <v>30.688019350000001</v>
      </c>
      <c r="T4" s="2" t="s">
        <v>30</v>
      </c>
      <c r="U4" s="2">
        <v>4.5805926189999999</v>
      </c>
      <c r="V4" s="2" t="s">
        <v>40</v>
      </c>
      <c r="W4" s="2" t="s">
        <v>41</v>
      </c>
      <c r="X4" s="2">
        <v>141.9202818</v>
      </c>
      <c r="Y4" s="2">
        <f>supply_chain_data!$F4-supply_chain_data!$X4</f>
        <v>9435.8293442000013</v>
      </c>
      <c r="Z4" s="2" t="str">
        <f>IF(supply_chain_data!$H4&lt;20,"Low Stock","Available")</f>
        <v>Low Stock</v>
      </c>
      <c r="AA4" s="2" t="str">
        <f>IF(supply_chain_data!$K4&gt;7,"Delayed","On Time")</f>
        <v>On Time</v>
      </c>
    </row>
    <row r="5" spans="1:27" x14ac:dyDescent="0.3">
      <c r="A5" s="3" t="s">
        <v>33</v>
      </c>
      <c r="B5" s="3" t="s">
        <v>42</v>
      </c>
      <c r="C5" s="3">
        <v>61.163343019999999</v>
      </c>
      <c r="D5" s="3">
        <v>68</v>
      </c>
      <c r="E5" s="3">
        <v>83</v>
      </c>
      <c r="F5" s="3">
        <v>7766.8364259999998</v>
      </c>
      <c r="G5" s="3" t="s">
        <v>26</v>
      </c>
      <c r="H5" s="3">
        <v>23</v>
      </c>
      <c r="I5" s="3">
        <v>13</v>
      </c>
      <c r="J5" s="3">
        <v>59</v>
      </c>
      <c r="K5" s="3">
        <v>6</v>
      </c>
      <c r="L5" s="3" t="s">
        <v>43</v>
      </c>
      <c r="M5" s="3">
        <v>1.729568564</v>
      </c>
      <c r="N5" s="3" t="s">
        <v>44</v>
      </c>
      <c r="O5" s="3" t="s">
        <v>45</v>
      </c>
      <c r="P5" s="3">
        <v>24</v>
      </c>
      <c r="Q5" s="3">
        <v>937</v>
      </c>
      <c r="R5" s="3">
        <v>18</v>
      </c>
      <c r="S5" s="3">
        <v>35.624741399999998</v>
      </c>
      <c r="T5" s="3" t="s">
        <v>46</v>
      </c>
      <c r="U5" s="3">
        <v>4.7466486210000003</v>
      </c>
      <c r="V5" s="3" t="s">
        <v>47</v>
      </c>
      <c r="W5" s="3" t="s">
        <v>48</v>
      </c>
      <c r="X5" s="3">
        <v>254.7761592</v>
      </c>
      <c r="Y5" s="3">
        <f>supply_chain_data!$F5-supply_chain_data!$X5</f>
        <v>7512.0602668000001</v>
      </c>
      <c r="Z5" s="3" t="str">
        <f>IF(supply_chain_data!$H5&lt;20,"Low Stock","Available")</f>
        <v>Available</v>
      </c>
      <c r="AA5" s="3" t="str">
        <f>IF(supply_chain_data!$K5&gt;7,"Delayed","On Time")</f>
        <v>On Time</v>
      </c>
    </row>
    <row r="6" spans="1:27" x14ac:dyDescent="0.3">
      <c r="A6" s="2" t="s">
        <v>33</v>
      </c>
      <c r="B6" s="2" t="s">
        <v>49</v>
      </c>
      <c r="C6" s="2">
        <v>4.8054960360000001</v>
      </c>
      <c r="D6" s="2">
        <v>26</v>
      </c>
      <c r="E6" s="2">
        <v>871</v>
      </c>
      <c r="F6" s="2">
        <v>2686.5051520000002</v>
      </c>
      <c r="G6" s="2" t="s">
        <v>26</v>
      </c>
      <c r="H6" s="2">
        <v>5</v>
      </c>
      <c r="I6" s="2">
        <v>3</v>
      </c>
      <c r="J6" s="2">
        <v>56</v>
      </c>
      <c r="K6" s="2">
        <v>8</v>
      </c>
      <c r="L6" s="2" t="s">
        <v>36</v>
      </c>
      <c r="M6" s="2">
        <v>3.8905479160000001</v>
      </c>
      <c r="N6" s="2" t="s">
        <v>39</v>
      </c>
      <c r="O6" s="2" t="s">
        <v>50</v>
      </c>
      <c r="P6" s="2">
        <v>5</v>
      </c>
      <c r="Q6" s="2">
        <v>414</v>
      </c>
      <c r="R6" s="2">
        <v>3</v>
      </c>
      <c r="S6" s="2">
        <v>92.065160599999999</v>
      </c>
      <c r="T6" s="2" t="s">
        <v>46</v>
      </c>
      <c r="U6" s="2">
        <v>3.1455795229999999</v>
      </c>
      <c r="V6" s="2" t="s">
        <v>40</v>
      </c>
      <c r="W6" s="2" t="s">
        <v>48</v>
      </c>
      <c r="X6" s="2">
        <v>923.44063170000004</v>
      </c>
      <c r="Y6" s="2">
        <f>supply_chain_data!$F6-supply_chain_data!$X6</f>
        <v>1763.0645203000001</v>
      </c>
      <c r="Z6" s="2" t="str">
        <f>IF(supply_chain_data!$H6&lt;20,"Low Stock","Available")</f>
        <v>Low Stock</v>
      </c>
      <c r="AA6" s="2" t="str">
        <f>IF(supply_chain_data!$K6&gt;7,"Delayed","On Time")</f>
        <v>Delayed</v>
      </c>
    </row>
    <row r="7" spans="1:27" x14ac:dyDescent="0.3">
      <c r="A7" s="3" t="s">
        <v>24</v>
      </c>
      <c r="B7" s="3" t="s">
        <v>51</v>
      </c>
      <c r="C7" s="3">
        <v>1.699976014</v>
      </c>
      <c r="D7" s="3">
        <v>87</v>
      </c>
      <c r="E7" s="3">
        <v>147</v>
      </c>
      <c r="F7" s="3">
        <v>2828.3487460000001</v>
      </c>
      <c r="G7" s="3" t="s">
        <v>26</v>
      </c>
      <c r="H7" s="3">
        <v>90</v>
      </c>
      <c r="I7" s="3">
        <v>27</v>
      </c>
      <c r="J7" s="3">
        <v>66</v>
      </c>
      <c r="K7" s="3">
        <v>3</v>
      </c>
      <c r="L7" s="3" t="s">
        <v>27</v>
      </c>
      <c r="M7" s="3">
        <v>4.4440988639999999</v>
      </c>
      <c r="N7" s="3" t="s">
        <v>52</v>
      </c>
      <c r="O7" s="3" t="s">
        <v>53</v>
      </c>
      <c r="P7" s="3">
        <v>10</v>
      </c>
      <c r="Q7" s="3">
        <v>104</v>
      </c>
      <c r="R7" s="3">
        <v>17</v>
      </c>
      <c r="S7" s="3">
        <v>56.766475560000003</v>
      </c>
      <c r="T7" s="3" t="s">
        <v>46</v>
      </c>
      <c r="U7" s="3">
        <v>2.779193512</v>
      </c>
      <c r="V7" s="3" t="s">
        <v>31</v>
      </c>
      <c r="W7" s="3" t="s">
        <v>48</v>
      </c>
      <c r="X7" s="3">
        <v>235.4612367</v>
      </c>
      <c r="Y7" s="3">
        <f>supply_chain_data!$F7-supply_chain_data!$X7</f>
        <v>2592.8875093000001</v>
      </c>
      <c r="Z7" s="3" t="str">
        <f>IF(supply_chain_data!$H7&lt;20,"Low Stock","Available")</f>
        <v>Available</v>
      </c>
      <c r="AA7" s="3" t="str">
        <f>IF(supply_chain_data!$K7&gt;7,"Delayed","On Time")</f>
        <v>On Time</v>
      </c>
    </row>
    <row r="8" spans="1:27" x14ac:dyDescent="0.3">
      <c r="A8" s="2" t="s">
        <v>33</v>
      </c>
      <c r="B8" s="2" t="s">
        <v>54</v>
      </c>
      <c r="C8" s="2">
        <v>4.078332863</v>
      </c>
      <c r="D8" s="2">
        <v>48</v>
      </c>
      <c r="E8" s="2">
        <v>65</v>
      </c>
      <c r="F8" s="2">
        <v>7823.4765600000001</v>
      </c>
      <c r="G8" s="2" t="s">
        <v>55</v>
      </c>
      <c r="H8" s="2">
        <v>11</v>
      </c>
      <c r="I8" s="2">
        <v>15</v>
      </c>
      <c r="J8" s="2">
        <v>58</v>
      </c>
      <c r="K8" s="2">
        <v>8</v>
      </c>
      <c r="L8" s="2" t="s">
        <v>43</v>
      </c>
      <c r="M8" s="2">
        <v>3.8807633030000002</v>
      </c>
      <c r="N8" s="2" t="s">
        <v>28</v>
      </c>
      <c r="O8" s="2" t="s">
        <v>45</v>
      </c>
      <c r="P8" s="2">
        <v>14</v>
      </c>
      <c r="Q8" s="2">
        <v>314</v>
      </c>
      <c r="R8" s="2">
        <v>24</v>
      </c>
      <c r="S8" s="2">
        <v>1.08506857</v>
      </c>
      <c r="T8" s="2" t="s">
        <v>30</v>
      </c>
      <c r="U8" s="2">
        <v>1.0009106189999999</v>
      </c>
      <c r="V8" s="2" t="s">
        <v>56</v>
      </c>
      <c r="W8" s="2" t="s">
        <v>48</v>
      </c>
      <c r="X8" s="2">
        <v>134.36909689999999</v>
      </c>
      <c r="Y8" s="2">
        <f>supply_chain_data!$F8-supply_chain_data!$X8</f>
        <v>7689.1074631000001</v>
      </c>
      <c r="Z8" s="2" t="str">
        <f>IF(supply_chain_data!$H8&lt;20,"Low Stock","Available")</f>
        <v>Low Stock</v>
      </c>
      <c r="AA8" s="2" t="str">
        <f>IF(supply_chain_data!$K8&gt;7,"Delayed","On Time")</f>
        <v>Delayed</v>
      </c>
    </row>
    <row r="9" spans="1:27" x14ac:dyDescent="0.3">
      <c r="A9" s="3" t="s">
        <v>57</v>
      </c>
      <c r="B9" s="3" t="s">
        <v>58</v>
      </c>
      <c r="C9" s="3">
        <v>42.958384379999998</v>
      </c>
      <c r="D9" s="3">
        <v>59</v>
      </c>
      <c r="E9" s="3">
        <v>426</v>
      </c>
      <c r="F9" s="3">
        <v>8496.1038129999997</v>
      </c>
      <c r="G9" s="3" t="s">
        <v>35</v>
      </c>
      <c r="H9" s="3">
        <v>93</v>
      </c>
      <c r="I9" s="3">
        <v>17</v>
      </c>
      <c r="J9" s="3">
        <v>11</v>
      </c>
      <c r="K9" s="3">
        <v>1</v>
      </c>
      <c r="L9" s="3" t="s">
        <v>27</v>
      </c>
      <c r="M9" s="3">
        <v>2.3483387840000001</v>
      </c>
      <c r="N9" s="3" t="s">
        <v>52</v>
      </c>
      <c r="O9" s="3" t="s">
        <v>53</v>
      </c>
      <c r="P9" s="3">
        <v>22</v>
      </c>
      <c r="Q9" s="3">
        <v>564</v>
      </c>
      <c r="R9" s="3">
        <v>1</v>
      </c>
      <c r="S9" s="3">
        <v>99.466108599999998</v>
      </c>
      <c r="T9" s="3" t="s">
        <v>46</v>
      </c>
      <c r="U9" s="3">
        <v>0.39817718699999999</v>
      </c>
      <c r="V9" s="3" t="s">
        <v>31</v>
      </c>
      <c r="W9" s="3" t="s">
        <v>41</v>
      </c>
      <c r="X9" s="3">
        <v>802.0563118</v>
      </c>
      <c r="Y9" s="3">
        <f>supply_chain_data!$F9-supply_chain_data!$X9</f>
        <v>7694.0475011999997</v>
      </c>
      <c r="Z9" s="3" t="str">
        <f>IF(supply_chain_data!$H9&lt;20,"Low Stock","Available")</f>
        <v>Available</v>
      </c>
      <c r="AA9" s="3" t="str">
        <f>IF(supply_chain_data!$K9&gt;7,"Delayed","On Time")</f>
        <v>On Time</v>
      </c>
    </row>
    <row r="10" spans="1:27" x14ac:dyDescent="0.3">
      <c r="A10" s="2" t="s">
        <v>57</v>
      </c>
      <c r="B10" s="2" t="s">
        <v>59</v>
      </c>
      <c r="C10" s="2">
        <v>68.717596749999998</v>
      </c>
      <c r="D10" s="2">
        <v>78</v>
      </c>
      <c r="E10" s="2">
        <v>150</v>
      </c>
      <c r="F10" s="2">
        <v>7517.3632109999999</v>
      </c>
      <c r="G10" s="2" t="s">
        <v>35</v>
      </c>
      <c r="H10" s="2">
        <v>5</v>
      </c>
      <c r="I10" s="2">
        <v>10</v>
      </c>
      <c r="J10" s="2">
        <v>15</v>
      </c>
      <c r="K10" s="2">
        <v>7</v>
      </c>
      <c r="L10" s="2" t="s">
        <v>43</v>
      </c>
      <c r="M10" s="2">
        <v>3.4047338570000001</v>
      </c>
      <c r="N10" s="2" t="s">
        <v>52</v>
      </c>
      <c r="O10" s="2" t="s">
        <v>29</v>
      </c>
      <c r="P10" s="2">
        <v>13</v>
      </c>
      <c r="Q10" s="2">
        <v>769</v>
      </c>
      <c r="R10" s="2">
        <v>8</v>
      </c>
      <c r="S10" s="2">
        <v>11.42302714</v>
      </c>
      <c r="T10" s="2" t="s">
        <v>30</v>
      </c>
      <c r="U10" s="2">
        <v>2.7098626910000001</v>
      </c>
      <c r="V10" s="2" t="s">
        <v>56</v>
      </c>
      <c r="W10" s="2" t="s">
        <v>32</v>
      </c>
      <c r="X10" s="2">
        <v>505.55713420000001</v>
      </c>
      <c r="Y10" s="2">
        <f>supply_chain_data!$F10-supply_chain_data!$X10</f>
        <v>7011.8060767999996</v>
      </c>
      <c r="Z10" s="2" t="str">
        <f>IF(supply_chain_data!$H10&lt;20,"Low Stock","Available")</f>
        <v>Low Stock</v>
      </c>
      <c r="AA10" s="2" t="str">
        <f>IF(supply_chain_data!$K10&gt;7,"Delayed","On Time")</f>
        <v>On Time</v>
      </c>
    </row>
    <row r="11" spans="1:27" x14ac:dyDescent="0.3">
      <c r="A11" s="3" t="s">
        <v>33</v>
      </c>
      <c r="B11" s="3" t="s">
        <v>60</v>
      </c>
      <c r="C11" s="3">
        <v>64.015732940000007</v>
      </c>
      <c r="D11" s="3">
        <v>35</v>
      </c>
      <c r="E11" s="3">
        <v>980</v>
      </c>
      <c r="F11" s="3">
        <v>4971.1459880000002</v>
      </c>
      <c r="G11" s="3" t="s">
        <v>38</v>
      </c>
      <c r="H11" s="3">
        <v>14</v>
      </c>
      <c r="I11" s="3">
        <v>27</v>
      </c>
      <c r="J11" s="3">
        <v>83</v>
      </c>
      <c r="K11" s="3">
        <v>1</v>
      </c>
      <c r="L11" s="3" t="s">
        <v>36</v>
      </c>
      <c r="M11" s="3">
        <v>7.166645291</v>
      </c>
      <c r="N11" s="3" t="s">
        <v>61</v>
      </c>
      <c r="O11" s="3" t="s">
        <v>62</v>
      </c>
      <c r="P11" s="3">
        <v>29</v>
      </c>
      <c r="Q11" s="3">
        <v>963</v>
      </c>
      <c r="R11" s="3">
        <v>23</v>
      </c>
      <c r="S11" s="3">
        <v>47.957601629999999</v>
      </c>
      <c r="T11" s="3" t="s">
        <v>30</v>
      </c>
      <c r="U11" s="3">
        <v>3.8446144790000001</v>
      </c>
      <c r="V11" s="3" t="s">
        <v>47</v>
      </c>
      <c r="W11" s="3" t="s">
        <v>32</v>
      </c>
      <c r="X11" s="3">
        <v>995.9294615</v>
      </c>
      <c r="Y11" s="3">
        <f>supply_chain_data!$F11-supply_chain_data!$X11</f>
        <v>3975.2165265000003</v>
      </c>
      <c r="Z11" s="3" t="str">
        <f>IF(supply_chain_data!$H11&lt;20,"Low Stock","Available")</f>
        <v>Low Stock</v>
      </c>
      <c r="AA11" s="3" t="str">
        <f>IF(supply_chain_data!$K11&gt;7,"Delayed","On Time")</f>
        <v>On Time</v>
      </c>
    </row>
    <row r="12" spans="1:27" x14ac:dyDescent="0.3">
      <c r="A12" s="2" t="s">
        <v>33</v>
      </c>
      <c r="B12" s="2" t="s">
        <v>63</v>
      </c>
      <c r="C12" s="2">
        <v>15.70779568</v>
      </c>
      <c r="D12" s="2">
        <v>11</v>
      </c>
      <c r="E12" s="2">
        <v>996</v>
      </c>
      <c r="F12" s="2">
        <v>2330.9658020000002</v>
      </c>
      <c r="G12" s="2" t="s">
        <v>26</v>
      </c>
      <c r="H12" s="2">
        <v>51</v>
      </c>
      <c r="I12" s="2">
        <v>13</v>
      </c>
      <c r="J12" s="2">
        <v>80</v>
      </c>
      <c r="K12" s="2">
        <v>2</v>
      </c>
      <c r="L12" s="2" t="s">
        <v>43</v>
      </c>
      <c r="M12" s="2">
        <v>8.6732112109999999</v>
      </c>
      <c r="N12" s="2" t="s">
        <v>44</v>
      </c>
      <c r="O12" s="2" t="s">
        <v>45</v>
      </c>
      <c r="P12" s="2">
        <v>18</v>
      </c>
      <c r="Q12" s="2">
        <v>830</v>
      </c>
      <c r="R12" s="2">
        <v>5</v>
      </c>
      <c r="S12" s="2">
        <v>96.527352789999995</v>
      </c>
      <c r="T12" s="2" t="s">
        <v>64</v>
      </c>
      <c r="U12" s="2">
        <v>1.7273139280000001</v>
      </c>
      <c r="V12" s="2" t="s">
        <v>31</v>
      </c>
      <c r="W12" s="2" t="s">
        <v>32</v>
      </c>
      <c r="X12" s="2">
        <v>806.10317769999995</v>
      </c>
      <c r="Y12" s="2">
        <f>supply_chain_data!$F12-supply_chain_data!$X12</f>
        <v>1524.8626243000003</v>
      </c>
      <c r="Z12" s="2" t="str">
        <f>IF(supply_chain_data!$H12&lt;20,"Low Stock","Available")</f>
        <v>Available</v>
      </c>
      <c r="AA12" s="2" t="str">
        <f>IF(supply_chain_data!$K12&gt;7,"Delayed","On Time")</f>
        <v>On Time</v>
      </c>
    </row>
    <row r="13" spans="1:27" x14ac:dyDescent="0.3">
      <c r="A13" s="3" t="s">
        <v>33</v>
      </c>
      <c r="B13" s="3" t="s">
        <v>65</v>
      </c>
      <c r="C13" s="3">
        <v>90.635459979999993</v>
      </c>
      <c r="D13" s="3">
        <v>95</v>
      </c>
      <c r="E13" s="3">
        <v>960</v>
      </c>
      <c r="F13" s="3">
        <v>6099.9441159999997</v>
      </c>
      <c r="G13" s="3" t="s">
        <v>35</v>
      </c>
      <c r="H13" s="3">
        <v>46</v>
      </c>
      <c r="I13" s="3">
        <v>23</v>
      </c>
      <c r="J13" s="3">
        <v>60</v>
      </c>
      <c r="K13" s="3">
        <v>1</v>
      </c>
      <c r="L13" s="3" t="s">
        <v>36</v>
      </c>
      <c r="M13" s="3">
        <v>4.5239431239999996</v>
      </c>
      <c r="N13" s="3" t="s">
        <v>61</v>
      </c>
      <c r="O13" s="3" t="s">
        <v>45</v>
      </c>
      <c r="P13" s="3">
        <v>28</v>
      </c>
      <c r="Q13" s="3">
        <v>362</v>
      </c>
      <c r="R13" s="3">
        <v>11</v>
      </c>
      <c r="S13" s="3">
        <v>27.592363089999999</v>
      </c>
      <c r="T13" s="3" t="s">
        <v>30</v>
      </c>
      <c r="U13" s="3">
        <v>2.1169820999999998E-2</v>
      </c>
      <c r="V13" s="3" t="s">
        <v>40</v>
      </c>
      <c r="W13" s="3" t="s">
        <v>48</v>
      </c>
      <c r="X13" s="3">
        <v>126.72303340000001</v>
      </c>
      <c r="Y13" s="3">
        <f>supply_chain_data!$F13-supply_chain_data!$X13</f>
        <v>5973.2210826</v>
      </c>
      <c r="Z13" s="3" t="str">
        <f>IF(supply_chain_data!$H13&lt;20,"Low Stock","Available")</f>
        <v>Available</v>
      </c>
      <c r="AA13" s="3" t="str">
        <f>IF(supply_chain_data!$K13&gt;7,"Delayed","On Time")</f>
        <v>On Time</v>
      </c>
    </row>
    <row r="14" spans="1:27" x14ac:dyDescent="0.3">
      <c r="A14" s="2" t="s">
        <v>24</v>
      </c>
      <c r="B14" s="2" t="s">
        <v>66</v>
      </c>
      <c r="C14" s="2">
        <v>71.213389079999999</v>
      </c>
      <c r="D14" s="2">
        <v>41</v>
      </c>
      <c r="E14" s="2">
        <v>336</v>
      </c>
      <c r="F14" s="2">
        <v>2873.741446</v>
      </c>
      <c r="G14" s="2" t="s">
        <v>38</v>
      </c>
      <c r="H14" s="2">
        <v>100</v>
      </c>
      <c r="I14" s="2">
        <v>30</v>
      </c>
      <c r="J14" s="2">
        <v>85</v>
      </c>
      <c r="K14" s="2">
        <v>4</v>
      </c>
      <c r="L14" s="2" t="s">
        <v>36</v>
      </c>
      <c r="M14" s="2">
        <v>1.32527401</v>
      </c>
      <c r="N14" s="2" t="s">
        <v>52</v>
      </c>
      <c r="O14" s="2" t="s">
        <v>45</v>
      </c>
      <c r="P14" s="2">
        <v>3</v>
      </c>
      <c r="Q14" s="2">
        <v>563</v>
      </c>
      <c r="R14" s="2">
        <v>3</v>
      </c>
      <c r="S14" s="2">
        <v>32.321286209999997</v>
      </c>
      <c r="T14" s="2" t="s">
        <v>46</v>
      </c>
      <c r="U14" s="2">
        <v>2.161253748</v>
      </c>
      <c r="V14" s="2" t="s">
        <v>31</v>
      </c>
      <c r="W14" s="2" t="s">
        <v>32</v>
      </c>
      <c r="X14" s="2">
        <v>402.96878909999998</v>
      </c>
      <c r="Y14" s="2">
        <f>supply_chain_data!$F14-supply_chain_data!$X14</f>
        <v>2470.7726569000001</v>
      </c>
      <c r="Z14" s="2" t="str">
        <f>IF(supply_chain_data!$H14&lt;20,"Low Stock","Available")</f>
        <v>Available</v>
      </c>
      <c r="AA14" s="2" t="str">
        <f>IF(supply_chain_data!$K14&gt;7,"Delayed","On Time")</f>
        <v>On Time</v>
      </c>
    </row>
    <row r="15" spans="1:27" x14ac:dyDescent="0.3">
      <c r="A15" s="3" t="s">
        <v>33</v>
      </c>
      <c r="B15" s="3" t="s">
        <v>67</v>
      </c>
      <c r="C15" s="3">
        <v>16.160393320000001</v>
      </c>
      <c r="D15" s="3">
        <v>5</v>
      </c>
      <c r="E15" s="3">
        <v>249</v>
      </c>
      <c r="F15" s="3">
        <v>4052.7384160000001</v>
      </c>
      <c r="G15" s="3" t="s">
        <v>55</v>
      </c>
      <c r="H15" s="3">
        <v>80</v>
      </c>
      <c r="I15" s="3">
        <v>8</v>
      </c>
      <c r="J15" s="3">
        <v>48</v>
      </c>
      <c r="K15" s="3">
        <v>9</v>
      </c>
      <c r="L15" s="3" t="s">
        <v>36</v>
      </c>
      <c r="M15" s="3">
        <v>9.5372830610000001</v>
      </c>
      <c r="N15" s="3" t="s">
        <v>44</v>
      </c>
      <c r="O15" s="3" t="s">
        <v>53</v>
      </c>
      <c r="P15" s="3">
        <v>23</v>
      </c>
      <c r="Q15" s="3">
        <v>173</v>
      </c>
      <c r="R15" s="3">
        <v>10</v>
      </c>
      <c r="S15" s="3">
        <v>97.829050109999997</v>
      </c>
      <c r="T15" s="3" t="s">
        <v>30</v>
      </c>
      <c r="U15" s="3">
        <v>1.6310742300000001</v>
      </c>
      <c r="V15" s="3" t="s">
        <v>31</v>
      </c>
      <c r="W15" s="3" t="s">
        <v>32</v>
      </c>
      <c r="X15" s="3">
        <v>547.24100520000002</v>
      </c>
      <c r="Y15" s="3">
        <f>supply_chain_data!$F15-supply_chain_data!$X15</f>
        <v>3505.4974108000001</v>
      </c>
      <c r="Z15" s="3" t="str">
        <f>IF(supply_chain_data!$H15&lt;20,"Low Stock","Available")</f>
        <v>Available</v>
      </c>
      <c r="AA15" s="3" t="str">
        <f>IF(supply_chain_data!$K15&gt;7,"Delayed","On Time")</f>
        <v>Delayed</v>
      </c>
    </row>
    <row r="16" spans="1:27" x14ac:dyDescent="0.3">
      <c r="A16" s="2" t="s">
        <v>33</v>
      </c>
      <c r="B16" s="2" t="s">
        <v>68</v>
      </c>
      <c r="C16" s="2">
        <v>99.171328639999999</v>
      </c>
      <c r="D16" s="2">
        <v>26</v>
      </c>
      <c r="E16" s="2">
        <v>562</v>
      </c>
      <c r="F16" s="2">
        <v>8653.5709260000003</v>
      </c>
      <c r="G16" s="2" t="s">
        <v>26</v>
      </c>
      <c r="H16" s="2">
        <v>54</v>
      </c>
      <c r="I16" s="2">
        <v>29</v>
      </c>
      <c r="J16" s="2">
        <v>78</v>
      </c>
      <c r="K16" s="2">
        <v>5</v>
      </c>
      <c r="L16" s="2" t="s">
        <v>27</v>
      </c>
      <c r="M16" s="2">
        <v>2.039770189</v>
      </c>
      <c r="N16" s="2" t="s">
        <v>39</v>
      </c>
      <c r="O16" s="2" t="s">
        <v>45</v>
      </c>
      <c r="P16" s="2">
        <v>25</v>
      </c>
      <c r="Q16" s="2">
        <v>558</v>
      </c>
      <c r="R16" s="2">
        <v>14</v>
      </c>
      <c r="S16" s="2">
        <v>5.7914366299999998</v>
      </c>
      <c r="T16" s="2" t="s">
        <v>30</v>
      </c>
      <c r="U16" s="2">
        <v>0.100682852</v>
      </c>
      <c r="V16" s="2" t="s">
        <v>40</v>
      </c>
      <c r="W16" s="2" t="s">
        <v>32</v>
      </c>
      <c r="X16" s="2">
        <v>929.23528999999996</v>
      </c>
      <c r="Y16" s="2">
        <f>supply_chain_data!$F16-supply_chain_data!$X16</f>
        <v>7724.3356360000007</v>
      </c>
      <c r="Z16" s="2" t="str">
        <f>IF(supply_chain_data!$H16&lt;20,"Low Stock","Available")</f>
        <v>Available</v>
      </c>
      <c r="AA16" s="2" t="str">
        <f>IF(supply_chain_data!$K16&gt;7,"Delayed","On Time")</f>
        <v>On Time</v>
      </c>
    </row>
    <row r="17" spans="1:27" x14ac:dyDescent="0.3">
      <c r="A17" s="3" t="s">
        <v>33</v>
      </c>
      <c r="B17" s="3" t="s">
        <v>69</v>
      </c>
      <c r="C17" s="3">
        <v>36.989244929999998</v>
      </c>
      <c r="D17" s="3">
        <v>94</v>
      </c>
      <c r="E17" s="3">
        <v>469</v>
      </c>
      <c r="F17" s="3">
        <v>5442.0867850000004</v>
      </c>
      <c r="G17" s="3" t="s">
        <v>26</v>
      </c>
      <c r="H17" s="3">
        <v>9</v>
      </c>
      <c r="I17" s="3">
        <v>8</v>
      </c>
      <c r="J17" s="3">
        <v>69</v>
      </c>
      <c r="K17" s="3">
        <v>7</v>
      </c>
      <c r="L17" s="3" t="s">
        <v>27</v>
      </c>
      <c r="M17" s="3">
        <v>2.4220397230000001</v>
      </c>
      <c r="N17" s="3" t="s">
        <v>39</v>
      </c>
      <c r="O17" s="3" t="s">
        <v>53</v>
      </c>
      <c r="P17" s="3">
        <v>14</v>
      </c>
      <c r="Q17" s="3">
        <v>580</v>
      </c>
      <c r="R17" s="3">
        <v>7</v>
      </c>
      <c r="S17" s="3">
        <v>97.121281749999994</v>
      </c>
      <c r="T17" s="3" t="s">
        <v>64</v>
      </c>
      <c r="U17" s="3">
        <v>2.2644057609999999</v>
      </c>
      <c r="V17" s="3" t="s">
        <v>56</v>
      </c>
      <c r="W17" s="3" t="s">
        <v>32</v>
      </c>
      <c r="X17" s="3">
        <v>127.8618</v>
      </c>
      <c r="Y17" s="3">
        <f>supply_chain_data!$F17-supply_chain_data!$X17</f>
        <v>5314.2249850000007</v>
      </c>
      <c r="Z17" s="3" t="str">
        <f>IF(supply_chain_data!$H17&lt;20,"Low Stock","Available")</f>
        <v>Low Stock</v>
      </c>
      <c r="AA17" s="3" t="str">
        <f>IF(supply_chain_data!$K17&gt;7,"Delayed","On Time")</f>
        <v>On Time</v>
      </c>
    </row>
    <row r="18" spans="1:27" x14ac:dyDescent="0.3">
      <c r="A18" s="2" t="s">
        <v>33</v>
      </c>
      <c r="B18" s="2" t="s">
        <v>70</v>
      </c>
      <c r="C18" s="2">
        <v>7.54717211</v>
      </c>
      <c r="D18" s="2">
        <v>74</v>
      </c>
      <c r="E18" s="2">
        <v>280</v>
      </c>
      <c r="F18" s="2">
        <v>6453.7979679999999</v>
      </c>
      <c r="G18" s="2" t="s">
        <v>35</v>
      </c>
      <c r="H18" s="2">
        <v>2</v>
      </c>
      <c r="I18" s="2">
        <v>5</v>
      </c>
      <c r="J18" s="2">
        <v>78</v>
      </c>
      <c r="K18" s="2">
        <v>1</v>
      </c>
      <c r="L18" s="2" t="s">
        <v>27</v>
      </c>
      <c r="M18" s="2">
        <v>4.1913245860000004</v>
      </c>
      <c r="N18" s="2" t="s">
        <v>39</v>
      </c>
      <c r="O18" s="2" t="s">
        <v>53</v>
      </c>
      <c r="P18" s="2">
        <v>3</v>
      </c>
      <c r="Q18" s="2">
        <v>399</v>
      </c>
      <c r="R18" s="2">
        <v>21</v>
      </c>
      <c r="S18" s="2">
        <v>77.106342499999997</v>
      </c>
      <c r="T18" s="2" t="s">
        <v>64</v>
      </c>
      <c r="U18" s="2">
        <v>1.0125630889999999</v>
      </c>
      <c r="V18" s="2" t="s">
        <v>40</v>
      </c>
      <c r="W18" s="2" t="s">
        <v>48</v>
      </c>
      <c r="X18" s="2">
        <v>865.52577980000001</v>
      </c>
      <c r="Y18" s="2">
        <f>supply_chain_data!$F18-supply_chain_data!$X18</f>
        <v>5588.2721881999996</v>
      </c>
      <c r="Z18" s="2" t="str">
        <f>IF(supply_chain_data!$H18&lt;20,"Low Stock","Available")</f>
        <v>Low Stock</v>
      </c>
      <c r="AA18" s="2" t="str">
        <f>IF(supply_chain_data!$K18&gt;7,"Delayed","On Time")</f>
        <v>On Time</v>
      </c>
    </row>
    <row r="19" spans="1:27" x14ac:dyDescent="0.3">
      <c r="A19" s="3" t="s">
        <v>57</v>
      </c>
      <c r="B19" s="3" t="s">
        <v>71</v>
      </c>
      <c r="C19" s="3">
        <v>81.46253437</v>
      </c>
      <c r="D19" s="3">
        <v>82</v>
      </c>
      <c r="E19" s="3">
        <v>126</v>
      </c>
      <c r="F19" s="3">
        <v>2629.3964350000001</v>
      </c>
      <c r="G19" s="3" t="s">
        <v>35</v>
      </c>
      <c r="H19" s="3">
        <v>45</v>
      </c>
      <c r="I19" s="3">
        <v>17</v>
      </c>
      <c r="J19" s="3">
        <v>85</v>
      </c>
      <c r="K19" s="3">
        <v>9</v>
      </c>
      <c r="L19" s="3" t="s">
        <v>43</v>
      </c>
      <c r="M19" s="3">
        <v>3.585418958</v>
      </c>
      <c r="N19" s="3" t="s">
        <v>39</v>
      </c>
      <c r="O19" s="3" t="s">
        <v>62</v>
      </c>
      <c r="P19" s="3">
        <v>7</v>
      </c>
      <c r="Q19" s="3">
        <v>453</v>
      </c>
      <c r="R19" s="3">
        <v>16</v>
      </c>
      <c r="S19" s="3">
        <v>47.67968037</v>
      </c>
      <c r="T19" s="3" t="s">
        <v>46</v>
      </c>
      <c r="U19" s="3">
        <v>0.102020755</v>
      </c>
      <c r="V19" s="3" t="s">
        <v>40</v>
      </c>
      <c r="W19" s="3" t="s">
        <v>41</v>
      </c>
      <c r="X19" s="3">
        <v>670.93439079999996</v>
      </c>
      <c r="Y19" s="3">
        <f>supply_chain_data!$F19-supply_chain_data!$X19</f>
        <v>1958.4620442</v>
      </c>
      <c r="Z19" s="3" t="str">
        <f>IF(supply_chain_data!$H19&lt;20,"Low Stock","Available")</f>
        <v>Available</v>
      </c>
      <c r="AA19" s="3" t="str">
        <f>IF(supply_chain_data!$K19&gt;7,"Delayed","On Time")</f>
        <v>Delayed</v>
      </c>
    </row>
    <row r="20" spans="1:27" x14ac:dyDescent="0.3">
      <c r="A20" s="2" t="s">
        <v>24</v>
      </c>
      <c r="B20" s="2" t="s">
        <v>72</v>
      </c>
      <c r="C20" s="2">
        <v>36.443627769999999</v>
      </c>
      <c r="D20" s="2">
        <v>23</v>
      </c>
      <c r="E20" s="2">
        <v>620</v>
      </c>
      <c r="F20" s="2">
        <v>9364.6735050000007</v>
      </c>
      <c r="G20" s="2" t="s">
        <v>38</v>
      </c>
      <c r="H20" s="2">
        <v>10</v>
      </c>
      <c r="I20" s="2">
        <v>10</v>
      </c>
      <c r="J20" s="2">
        <v>46</v>
      </c>
      <c r="K20" s="2">
        <v>8</v>
      </c>
      <c r="L20" s="2" t="s">
        <v>43</v>
      </c>
      <c r="M20" s="2">
        <v>4.3392247140000002</v>
      </c>
      <c r="N20" s="2" t="s">
        <v>61</v>
      </c>
      <c r="O20" s="2" t="s">
        <v>45</v>
      </c>
      <c r="P20" s="2">
        <v>18</v>
      </c>
      <c r="Q20" s="2">
        <v>374</v>
      </c>
      <c r="R20" s="2">
        <v>17</v>
      </c>
      <c r="S20" s="2">
        <v>27.107980850000001</v>
      </c>
      <c r="T20" s="2" t="s">
        <v>30</v>
      </c>
      <c r="U20" s="2">
        <v>2.231939111</v>
      </c>
      <c r="V20" s="2" t="s">
        <v>56</v>
      </c>
      <c r="W20" s="2" t="s">
        <v>48</v>
      </c>
      <c r="X20" s="2">
        <v>593.48025870000004</v>
      </c>
      <c r="Y20" s="2">
        <f>supply_chain_data!$F20-supply_chain_data!$X20</f>
        <v>8771.1932463000012</v>
      </c>
      <c r="Z20" s="2" t="str">
        <f>IF(supply_chain_data!$H20&lt;20,"Low Stock","Available")</f>
        <v>Low Stock</v>
      </c>
      <c r="AA20" s="2" t="str">
        <f>IF(supply_chain_data!$K20&gt;7,"Delayed","On Time")</f>
        <v>Delayed</v>
      </c>
    </row>
    <row r="21" spans="1:27" x14ac:dyDescent="0.3">
      <c r="A21" s="3" t="s">
        <v>33</v>
      </c>
      <c r="B21" s="3" t="s">
        <v>73</v>
      </c>
      <c r="C21" s="3">
        <v>51.123870089999997</v>
      </c>
      <c r="D21" s="3">
        <v>100</v>
      </c>
      <c r="E21" s="3">
        <v>187</v>
      </c>
      <c r="F21" s="3">
        <v>2553.4955850000001</v>
      </c>
      <c r="G21" s="3" t="s">
        <v>38</v>
      </c>
      <c r="H21" s="3">
        <v>48</v>
      </c>
      <c r="I21" s="3">
        <v>11</v>
      </c>
      <c r="J21" s="3">
        <v>94</v>
      </c>
      <c r="K21" s="3">
        <v>3</v>
      </c>
      <c r="L21" s="3" t="s">
        <v>36</v>
      </c>
      <c r="M21" s="3">
        <v>4.7426358830000002</v>
      </c>
      <c r="N21" s="3" t="s">
        <v>52</v>
      </c>
      <c r="O21" s="3" t="s">
        <v>62</v>
      </c>
      <c r="P21" s="3">
        <v>20</v>
      </c>
      <c r="Q21" s="3">
        <v>694</v>
      </c>
      <c r="R21" s="3">
        <v>16</v>
      </c>
      <c r="S21" s="3">
        <v>82.373320590000006</v>
      </c>
      <c r="T21" s="3" t="s">
        <v>46</v>
      </c>
      <c r="U21" s="3">
        <v>3.6464508649999998</v>
      </c>
      <c r="V21" s="3" t="s">
        <v>31</v>
      </c>
      <c r="W21" s="3" t="s">
        <v>41</v>
      </c>
      <c r="X21" s="3">
        <v>477.30763109999998</v>
      </c>
      <c r="Y21" s="3">
        <f>supply_chain_data!$F21-supply_chain_data!$X21</f>
        <v>2076.1879539000001</v>
      </c>
      <c r="Z21" s="3" t="str">
        <f>IF(supply_chain_data!$H21&lt;20,"Low Stock","Available")</f>
        <v>Available</v>
      </c>
      <c r="AA21" s="3" t="str">
        <f>IF(supply_chain_data!$K21&gt;7,"Delayed","On Time")</f>
        <v>On Time</v>
      </c>
    </row>
    <row r="22" spans="1:27" x14ac:dyDescent="0.3">
      <c r="A22" s="2" t="s">
        <v>33</v>
      </c>
      <c r="B22" s="2" t="s">
        <v>74</v>
      </c>
      <c r="C22" s="2">
        <v>96.341072440000005</v>
      </c>
      <c r="D22" s="2">
        <v>22</v>
      </c>
      <c r="E22" s="2">
        <v>320</v>
      </c>
      <c r="F22" s="2">
        <v>8128.0276970000004</v>
      </c>
      <c r="G22" s="2" t="s">
        <v>38</v>
      </c>
      <c r="H22" s="2">
        <v>27</v>
      </c>
      <c r="I22" s="2">
        <v>12</v>
      </c>
      <c r="J22" s="2">
        <v>68</v>
      </c>
      <c r="K22" s="2">
        <v>6</v>
      </c>
      <c r="L22" s="2" t="s">
        <v>36</v>
      </c>
      <c r="M22" s="2">
        <v>8.8783346509999994</v>
      </c>
      <c r="N22" s="2" t="s">
        <v>39</v>
      </c>
      <c r="O22" s="2" t="s">
        <v>62</v>
      </c>
      <c r="P22" s="2">
        <v>29</v>
      </c>
      <c r="Q22" s="2">
        <v>309</v>
      </c>
      <c r="R22" s="2">
        <v>6</v>
      </c>
      <c r="S22" s="2">
        <v>65.686259609999993</v>
      </c>
      <c r="T22" s="2" t="s">
        <v>64</v>
      </c>
      <c r="U22" s="2">
        <v>4.2314165739999998</v>
      </c>
      <c r="V22" s="2" t="s">
        <v>40</v>
      </c>
      <c r="W22" s="2" t="s">
        <v>32</v>
      </c>
      <c r="X22" s="2">
        <v>493.87121530000002</v>
      </c>
      <c r="Y22" s="2">
        <f>supply_chain_data!$F22-supply_chain_data!$X22</f>
        <v>7634.1564817000008</v>
      </c>
      <c r="Z22" s="2" t="str">
        <f>IF(supply_chain_data!$H22&lt;20,"Low Stock","Available")</f>
        <v>Available</v>
      </c>
      <c r="AA22" s="2" t="str">
        <f>IF(supply_chain_data!$K22&gt;7,"Delayed","On Time")</f>
        <v>On Time</v>
      </c>
    </row>
    <row r="23" spans="1:27" x14ac:dyDescent="0.3">
      <c r="A23" s="3" t="s">
        <v>57</v>
      </c>
      <c r="B23" s="3" t="s">
        <v>75</v>
      </c>
      <c r="C23" s="3">
        <v>84.893868979999993</v>
      </c>
      <c r="D23" s="3">
        <v>60</v>
      </c>
      <c r="E23" s="3">
        <v>601</v>
      </c>
      <c r="F23" s="3">
        <v>7087.0526959999997</v>
      </c>
      <c r="G23" s="3" t="s">
        <v>38</v>
      </c>
      <c r="H23" s="3">
        <v>69</v>
      </c>
      <c r="I23" s="3">
        <v>25</v>
      </c>
      <c r="J23" s="3">
        <v>7</v>
      </c>
      <c r="K23" s="3">
        <v>6</v>
      </c>
      <c r="L23" s="3" t="s">
        <v>27</v>
      </c>
      <c r="M23" s="3">
        <v>6.0378837689999996</v>
      </c>
      <c r="N23" s="3" t="s">
        <v>44</v>
      </c>
      <c r="O23" s="3" t="s">
        <v>62</v>
      </c>
      <c r="P23" s="3">
        <v>19</v>
      </c>
      <c r="Q23" s="3">
        <v>791</v>
      </c>
      <c r="R23" s="3">
        <v>4</v>
      </c>
      <c r="S23" s="3">
        <v>61.735728950000002</v>
      </c>
      <c r="T23" s="3" t="s">
        <v>30</v>
      </c>
      <c r="U23" s="3">
        <v>1.8607568000000001E-2</v>
      </c>
      <c r="V23" s="3" t="s">
        <v>40</v>
      </c>
      <c r="W23" s="3" t="s">
        <v>41</v>
      </c>
      <c r="X23" s="3">
        <v>523.36091469999997</v>
      </c>
      <c r="Y23" s="3">
        <f>supply_chain_data!$F23-supply_chain_data!$X23</f>
        <v>6563.6917813</v>
      </c>
      <c r="Z23" s="3" t="str">
        <f>IF(supply_chain_data!$H23&lt;20,"Low Stock","Available")</f>
        <v>Available</v>
      </c>
      <c r="AA23" s="3" t="str">
        <f>IF(supply_chain_data!$K23&gt;7,"Delayed","On Time")</f>
        <v>On Time</v>
      </c>
    </row>
    <row r="24" spans="1:27" x14ac:dyDescent="0.3">
      <c r="A24" s="2" t="s">
        <v>24</v>
      </c>
      <c r="B24" s="2" t="s">
        <v>76</v>
      </c>
      <c r="C24" s="2">
        <v>27.67978089</v>
      </c>
      <c r="D24" s="2">
        <v>55</v>
      </c>
      <c r="E24" s="2">
        <v>884</v>
      </c>
      <c r="F24" s="2">
        <v>2390.807867</v>
      </c>
      <c r="G24" s="2" t="s">
        <v>38</v>
      </c>
      <c r="H24" s="2">
        <v>71</v>
      </c>
      <c r="I24" s="2">
        <v>1</v>
      </c>
      <c r="J24" s="2">
        <v>63</v>
      </c>
      <c r="K24" s="2">
        <v>10</v>
      </c>
      <c r="L24" s="2" t="s">
        <v>36</v>
      </c>
      <c r="M24" s="2">
        <v>9.567648921</v>
      </c>
      <c r="N24" s="2" t="s">
        <v>52</v>
      </c>
      <c r="O24" s="2" t="s">
        <v>45</v>
      </c>
      <c r="P24" s="2">
        <v>22</v>
      </c>
      <c r="Q24" s="2">
        <v>780</v>
      </c>
      <c r="R24" s="2">
        <v>28</v>
      </c>
      <c r="S24" s="2">
        <v>50.120839609999997</v>
      </c>
      <c r="T24" s="2" t="s">
        <v>46</v>
      </c>
      <c r="U24" s="2">
        <v>2.5912754730000001</v>
      </c>
      <c r="V24" s="2" t="s">
        <v>47</v>
      </c>
      <c r="W24" s="2" t="s">
        <v>41</v>
      </c>
      <c r="X24" s="2">
        <v>205.5719958</v>
      </c>
      <c r="Y24" s="2">
        <f>supply_chain_data!$F24-supply_chain_data!$X24</f>
        <v>2185.2358712</v>
      </c>
      <c r="Z24" s="2" t="str">
        <f>IF(supply_chain_data!$H24&lt;20,"Low Stock","Available")</f>
        <v>Available</v>
      </c>
      <c r="AA24" s="2" t="str">
        <f>IF(supply_chain_data!$K24&gt;7,"Delayed","On Time")</f>
        <v>Delayed</v>
      </c>
    </row>
    <row r="25" spans="1:27" x14ac:dyDescent="0.3">
      <c r="A25" s="3" t="s">
        <v>57</v>
      </c>
      <c r="B25" s="3" t="s">
        <v>77</v>
      </c>
      <c r="C25" s="3">
        <v>4.3243411859999998</v>
      </c>
      <c r="D25" s="3">
        <v>30</v>
      </c>
      <c r="E25" s="3">
        <v>391</v>
      </c>
      <c r="F25" s="3">
        <v>8858.3675710000007</v>
      </c>
      <c r="G25" s="3" t="s">
        <v>38</v>
      </c>
      <c r="H25" s="3">
        <v>84</v>
      </c>
      <c r="I25" s="3">
        <v>5</v>
      </c>
      <c r="J25" s="3">
        <v>29</v>
      </c>
      <c r="K25" s="3">
        <v>7</v>
      </c>
      <c r="L25" s="3" t="s">
        <v>36</v>
      </c>
      <c r="M25" s="3">
        <v>2.9248576009999998</v>
      </c>
      <c r="N25" s="3" t="s">
        <v>44</v>
      </c>
      <c r="O25" s="3" t="s">
        <v>45</v>
      </c>
      <c r="P25" s="3">
        <v>11</v>
      </c>
      <c r="Q25" s="3">
        <v>568</v>
      </c>
      <c r="R25" s="3">
        <v>29</v>
      </c>
      <c r="S25" s="3">
        <v>98.60995724</v>
      </c>
      <c r="T25" s="3" t="s">
        <v>30</v>
      </c>
      <c r="U25" s="3">
        <v>1.3422915630000001</v>
      </c>
      <c r="V25" s="3" t="s">
        <v>47</v>
      </c>
      <c r="W25" s="3" t="s">
        <v>48</v>
      </c>
      <c r="X25" s="3">
        <v>196.32944610000001</v>
      </c>
      <c r="Y25" s="3">
        <f>supply_chain_data!$F25-supply_chain_data!$X25</f>
        <v>8662.0381249000002</v>
      </c>
      <c r="Z25" s="3" t="str">
        <f>IF(supply_chain_data!$H25&lt;20,"Low Stock","Available")</f>
        <v>Available</v>
      </c>
      <c r="AA25" s="3" t="str">
        <f>IF(supply_chain_data!$K25&gt;7,"Delayed","On Time")</f>
        <v>On Time</v>
      </c>
    </row>
    <row r="26" spans="1:27" x14ac:dyDescent="0.3">
      <c r="A26" s="2" t="s">
        <v>24</v>
      </c>
      <c r="B26" s="2" t="s">
        <v>78</v>
      </c>
      <c r="C26" s="2">
        <v>4.1563083589999996</v>
      </c>
      <c r="D26" s="2">
        <v>32</v>
      </c>
      <c r="E26" s="2">
        <v>209</v>
      </c>
      <c r="F26" s="2">
        <v>9049.0778609999998</v>
      </c>
      <c r="G26" s="2" t="s">
        <v>55</v>
      </c>
      <c r="H26" s="2">
        <v>4</v>
      </c>
      <c r="I26" s="2">
        <v>26</v>
      </c>
      <c r="J26" s="2">
        <v>2</v>
      </c>
      <c r="K26" s="2">
        <v>8</v>
      </c>
      <c r="L26" s="2" t="s">
        <v>43</v>
      </c>
      <c r="M26" s="2">
        <v>9.7412916890000005</v>
      </c>
      <c r="N26" s="2" t="s">
        <v>61</v>
      </c>
      <c r="O26" s="2" t="s">
        <v>53</v>
      </c>
      <c r="P26" s="2">
        <v>28</v>
      </c>
      <c r="Q26" s="2">
        <v>447</v>
      </c>
      <c r="R26" s="2">
        <v>3</v>
      </c>
      <c r="S26" s="2">
        <v>40.382359700000002</v>
      </c>
      <c r="T26" s="2" t="s">
        <v>30</v>
      </c>
      <c r="U26" s="2">
        <v>3.6913102929999999</v>
      </c>
      <c r="V26" s="2" t="s">
        <v>40</v>
      </c>
      <c r="W26" s="2" t="s">
        <v>48</v>
      </c>
      <c r="X26" s="2">
        <v>758.72477260000005</v>
      </c>
      <c r="Y26" s="2">
        <f>supply_chain_data!$F26-supply_chain_data!$X26</f>
        <v>8290.3530883999993</v>
      </c>
      <c r="Z26" s="2" t="str">
        <f>IF(supply_chain_data!$H26&lt;20,"Low Stock","Available")</f>
        <v>Low Stock</v>
      </c>
      <c r="AA26" s="2" t="str">
        <f>IF(supply_chain_data!$K26&gt;7,"Delayed","On Time")</f>
        <v>Delayed</v>
      </c>
    </row>
    <row r="27" spans="1:27" x14ac:dyDescent="0.3">
      <c r="A27" s="3" t="s">
        <v>24</v>
      </c>
      <c r="B27" s="3" t="s">
        <v>79</v>
      </c>
      <c r="C27" s="3">
        <v>39.629343990000002</v>
      </c>
      <c r="D27" s="3">
        <v>73</v>
      </c>
      <c r="E27" s="3">
        <v>142</v>
      </c>
      <c r="F27" s="3">
        <v>2174.7770540000001</v>
      </c>
      <c r="G27" s="3" t="s">
        <v>55</v>
      </c>
      <c r="H27" s="3">
        <v>82</v>
      </c>
      <c r="I27" s="3">
        <v>11</v>
      </c>
      <c r="J27" s="3">
        <v>52</v>
      </c>
      <c r="K27" s="3">
        <v>3</v>
      </c>
      <c r="L27" s="3" t="s">
        <v>43</v>
      </c>
      <c r="M27" s="3">
        <v>2.2310736809999998</v>
      </c>
      <c r="N27" s="3" t="s">
        <v>52</v>
      </c>
      <c r="O27" s="3" t="s">
        <v>45</v>
      </c>
      <c r="P27" s="3">
        <v>19</v>
      </c>
      <c r="Q27" s="3">
        <v>934</v>
      </c>
      <c r="R27" s="3">
        <v>23</v>
      </c>
      <c r="S27" s="3">
        <v>78.280383119999996</v>
      </c>
      <c r="T27" s="3" t="s">
        <v>30</v>
      </c>
      <c r="U27" s="3">
        <v>3.7972312170000002</v>
      </c>
      <c r="V27" s="3" t="s">
        <v>31</v>
      </c>
      <c r="W27" s="3" t="s">
        <v>32</v>
      </c>
      <c r="X27" s="3">
        <v>458.53594570000001</v>
      </c>
      <c r="Y27" s="3">
        <f>supply_chain_data!$F27-supply_chain_data!$X27</f>
        <v>1716.2411083000002</v>
      </c>
      <c r="Z27" s="3" t="str">
        <f>IF(supply_chain_data!$H27&lt;20,"Low Stock","Available")</f>
        <v>Available</v>
      </c>
      <c r="AA27" s="3" t="str">
        <f>IF(supply_chain_data!$K27&gt;7,"Delayed","On Time")</f>
        <v>On Time</v>
      </c>
    </row>
    <row r="28" spans="1:27" x14ac:dyDescent="0.3">
      <c r="A28" s="2" t="s">
        <v>24</v>
      </c>
      <c r="B28" s="2" t="s">
        <v>80</v>
      </c>
      <c r="C28" s="2">
        <v>97.446946620000006</v>
      </c>
      <c r="D28" s="2">
        <v>9</v>
      </c>
      <c r="E28" s="2">
        <v>353</v>
      </c>
      <c r="F28" s="2">
        <v>3716.4933259999998</v>
      </c>
      <c r="G28" s="2" t="s">
        <v>55</v>
      </c>
      <c r="H28" s="2">
        <v>59</v>
      </c>
      <c r="I28" s="2">
        <v>16</v>
      </c>
      <c r="J28" s="2">
        <v>48</v>
      </c>
      <c r="K28" s="2">
        <v>4</v>
      </c>
      <c r="L28" s="2" t="s">
        <v>27</v>
      </c>
      <c r="M28" s="2">
        <v>6.5075486209999998</v>
      </c>
      <c r="N28" s="2" t="s">
        <v>61</v>
      </c>
      <c r="O28" s="2" t="s">
        <v>53</v>
      </c>
      <c r="P28" s="2">
        <v>26</v>
      </c>
      <c r="Q28" s="2">
        <v>171</v>
      </c>
      <c r="R28" s="2">
        <v>4</v>
      </c>
      <c r="S28" s="2">
        <v>15.972229759999999</v>
      </c>
      <c r="T28" s="2" t="s">
        <v>64</v>
      </c>
      <c r="U28" s="2">
        <v>2.1193197370000001</v>
      </c>
      <c r="V28" s="2" t="s">
        <v>47</v>
      </c>
      <c r="W28" s="2" t="s">
        <v>48</v>
      </c>
      <c r="X28" s="2">
        <v>617.8669165</v>
      </c>
      <c r="Y28" s="2">
        <f>supply_chain_data!$F28-supply_chain_data!$X28</f>
        <v>3098.6264094999997</v>
      </c>
      <c r="Z28" s="2" t="str">
        <f>IF(supply_chain_data!$H28&lt;20,"Low Stock","Available")</f>
        <v>Available</v>
      </c>
      <c r="AA28" s="2" t="str">
        <f>IF(supply_chain_data!$K28&gt;7,"Delayed","On Time")</f>
        <v>On Time</v>
      </c>
    </row>
    <row r="29" spans="1:27" x14ac:dyDescent="0.3">
      <c r="A29" s="3" t="s">
        <v>57</v>
      </c>
      <c r="B29" s="3" t="s">
        <v>81</v>
      </c>
      <c r="C29" s="3">
        <v>92.557360810000006</v>
      </c>
      <c r="D29" s="3">
        <v>42</v>
      </c>
      <c r="E29" s="3">
        <v>352</v>
      </c>
      <c r="F29" s="3">
        <v>2686.4572240000002</v>
      </c>
      <c r="G29" s="3" t="s">
        <v>38</v>
      </c>
      <c r="H29" s="3">
        <v>47</v>
      </c>
      <c r="I29" s="3">
        <v>9</v>
      </c>
      <c r="J29" s="3">
        <v>62</v>
      </c>
      <c r="K29" s="3">
        <v>8</v>
      </c>
      <c r="L29" s="3" t="s">
        <v>43</v>
      </c>
      <c r="M29" s="3">
        <v>7.4067509530000004</v>
      </c>
      <c r="N29" s="3" t="s">
        <v>44</v>
      </c>
      <c r="O29" s="3" t="s">
        <v>29</v>
      </c>
      <c r="P29" s="3">
        <v>25</v>
      </c>
      <c r="Q29" s="3">
        <v>291</v>
      </c>
      <c r="R29" s="3">
        <v>4</v>
      </c>
      <c r="S29" s="3">
        <v>10.528245070000001</v>
      </c>
      <c r="T29" s="3" t="s">
        <v>46</v>
      </c>
      <c r="U29" s="3">
        <v>2.8646678379999999</v>
      </c>
      <c r="V29" s="3" t="s">
        <v>56</v>
      </c>
      <c r="W29" s="3" t="s">
        <v>32</v>
      </c>
      <c r="X29" s="3">
        <v>762.45918219999999</v>
      </c>
      <c r="Y29" s="3">
        <f>supply_chain_data!$F29-supply_chain_data!$X29</f>
        <v>1923.9980418000002</v>
      </c>
      <c r="Z29" s="3" t="str">
        <f>IF(supply_chain_data!$H29&lt;20,"Low Stock","Available")</f>
        <v>Available</v>
      </c>
      <c r="AA29" s="3" t="str">
        <f>IF(supply_chain_data!$K29&gt;7,"Delayed","On Time")</f>
        <v>Delayed</v>
      </c>
    </row>
    <row r="30" spans="1:27" x14ac:dyDescent="0.3">
      <c r="A30" s="2" t="s">
        <v>57</v>
      </c>
      <c r="B30" s="2" t="s">
        <v>82</v>
      </c>
      <c r="C30" s="2">
        <v>2.3972747060000001</v>
      </c>
      <c r="D30" s="2">
        <v>12</v>
      </c>
      <c r="E30" s="2">
        <v>394</v>
      </c>
      <c r="F30" s="2">
        <v>6117.3246150000004</v>
      </c>
      <c r="G30" s="2" t="s">
        <v>35</v>
      </c>
      <c r="H30" s="2">
        <v>48</v>
      </c>
      <c r="I30" s="2">
        <v>15</v>
      </c>
      <c r="J30" s="2">
        <v>24</v>
      </c>
      <c r="K30" s="2">
        <v>4</v>
      </c>
      <c r="L30" s="2" t="s">
        <v>27</v>
      </c>
      <c r="M30" s="2">
        <v>9.8981405079999991</v>
      </c>
      <c r="N30" s="2" t="s">
        <v>39</v>
      </c>
      <c r="O30" s="2" t="s">
        <v>29</v>
      </c>
      <c r="P30" s="2">
        <v>13</v>
      </c>
      <c r="Q30" s="2">
        <v>171</v>
      </c>
      <c r="R30" s="2">
        <v>7</v>
      </c>
      <c r="S30" s="2">
        <v>59.429381810000002</v>
      </c>
      <c r="T30" s="2" t="s">
        <v>46</v>
      </c>
      <c r="U30" s="2">
        <v>0.81575707900000005</v>
      </c>
      <c r="V30" s="2" t="s">
        <v>40</v>
      </c>
      <c r="W30" s="2" t="s">
        <v>48</v>
      </c>
      <c r="X30" s="2">
        <v>123.4370275</v>
      </c>
      <c r="Y30" s="2">
        <f>supply_chain_data!$F30-supply_chain_data!$X30</f>
        <v>5993.8875875000003</v>
      </c>
      <c r="Z30" s="2" t="str">
        <f>IF(supply_chain_data!$H30&lt;20,"Low Stock","Available")</f>
        <v>Available</v>
      </c>
      <c r="AA30" s="2" t="str">
        <f>IF(supply_chain_data!$K30&gt;7,"Delayed","On Time")</f>
        <v>On Time</v>
      </c>
    </row>
    <row r="31" spans="1:27" x14ac:dyDescent="0.3">
      <c r="A31" s="3" t="s">
        <v>57</v>
      </c>
      <c r="B31" s="3" t="s">
        <v>83</v>
      </c>
      <c r="C31" s="3">
        <v>63.44755919</v>
      </c>
      <c r="D31" s="3">
        <v>3</v>
      </c>
      <c r="E31" s="3">
        <v>253</v>
      </c>
      <c r="F31" s="3">
        <v>8318.9031950000008</v>
      </c>
      <c r="G31" s="3" t="s">
        <v>35</v>
      </c>
      <c r="H31" s="3">
        <v>45</v>
      </c>
      <c r="I31" s="3">
        <v>5</v>
      </c>
      <c r="J31" s="3">
        <v>67</v>
      </c>
      <c r="K31" s="3">
        <v>7</v>
      </c>
      <c r="L31" s="3" t="s">
        <v>27</v>
      </c>
      <c r="M31" s="3">
        <v>8.1009731449999993</v>
      </c>
      <c r="N31" s="3" t="s">
        <v>39</v>
      </c>
      <c r="O31" s="3" t="s">
        <v>45</v>
      </c>
      <c r="P31" s="3">
        <v>16</v>
      </c>
      <c r="Q31" s="3">
        <v>329</v>
      </c>
      <c r="R31" s="3">
        <v>7</v>
      </c>
      <c r="S31" s="3">
        <v>39.292875590000001</v>
      </c>
      <c r="T31" s="3" t="s">
        <v>64</v>
      </c>
      <c r="U31" s="3">
        <v>3.8780989369999999</v>
      </c>
      <c r="V31" s="3" t="s">
        <v>31</v>
      </c>
      <c r="W31" s="3" t="s">
        <v>32</v>
      </c>
      <c r="X31" s="3">
        <v>764.93537590000005</v>
      </c>
      <c r="Y31" s="3">
        <f>supply_chain_data!$F31-supply_chain_data!$X31</f>
        <v>7553.9678191000003</v>
      </c>
      <c r="Z31" s="3" t="str">
        <f>IF(supply_chain_data!$H31&lt;20,"Low Stock","Available")</f>
        <v>Available</v>
      </c>
      <c r="AA31" s="3" t="str">
        <f>IF(supply_chain_data!$K31&gt;7,"Delayed","On Time")</f>
        <v>On Time</v>
      </c>
    </row>
    <row r="32" spans="1:27" x14ac:dyDescent="0.3">
      <c r="A32" s="2" t="s">
        <v>24</v>
      </c>
      <c r="B32" s="2" t="s">
        <v>84</v>
      </c>
      <c r="C32" s="2">
        <v>8.0228592110000001</v>
      </c>
      <c r="D32" s="2">
        <v>10</v>
      </c>
      <c r="E32" s="2">
        <v>327</v>
      </c>
      <c r="F32" s="2">
        <v>2766.3423670000002</v>
      </c>
      <c r="G32" s="2" t="s">
        <v>55</v>
      </c>
      <c r="H32" s="2">
        <v>60</v>
      </c>
      <c r="I32" s="2">
        <v>26</v>
      </c>
      <c r="J32" s="2">
        <v>35</v>
      </c>
      <c r="K32" s="2">
        <v>7</v>
      </c>
      <c r="L32" s="2" t="s">
        <v>27</v>
      </c>
      <c r="M32" s="2">
        <v>8.9545283149999992</v>
      </c>
      <c r="N32" s="2" t="s">
        <v>52</v>
      </c>
      <c r="O32" s="2" t="s">
        <v>45</v>
      </c>
      <c r="P32" s="2">
        <v>27</v>
      </c>
      <c r="Q32" s="2">
        <v>806</v>
      </c>
      <c r="R32" s="2">
        <v>30</v>
      </c>
      <c r="S32" s="2">
        <v>51.634893400000003</v>
      </c>
      <c r="T32" s="2" t="s">
        <v>30</v>
      </c>
      <c r="U32" s="2">
        <v>0.96539470500000002</v>
      </c>
      <c r="V32" s="2" t="s">
        <v>31</v>
      </c>
      <c r="W32" s="2" t="s">
        <v>41</v>
      </c>
      <c r="X32" s="2">
        <v>880.08098819999998</v>
      </c>
      <c r="Y32" s="2">
        <f>supply_chain_data!$F32-supply_chain_data!$X32</f>
        <v>1886.2613788000003</v>
      </c>
      <c r="Z32" s="2" t="str">
        <f>IF(supply_chain_data!$H32&lt;20,"Low Stock","Available")</f>
        <v>Available</v>
      </c>
      <c r="AA32" s="2" t="str">
        <f>IF(supply_chain_data!$K32&gt;7,"Delayed","On Time")</f>
        <v>On Time</v>
      </c>
    </row>
    <row r="33" spans="1:27" x14ac:dyDescent="0.3">
      <c r="A33" s="3" t="s">
        <v>33</v>
      </c>
      <c r="B33" s="3" t="s">
        <v>85</v>
      </c>
      <c r="C33" s="3">
        <v>50.847393050000001</v>
      </c>
      <c r="D33" s="3">
        <v>28</v>
      </c>
      <c r="E33" s="3">
        <v>168</v>
      </c>
      <c r="F33" s="3">
        <v>9655.1351030000005</v>
      </c>
      <c r="G33" s="3" t="s">
        <v>55</v>
      </c>
      <c r="H33" s="3">
        <v>6</v>
      </c>
      <c r="I33" s="3">
        <v>17</v>
      </c>
      <c r="J33" s="3">
        <v>44</v>
      </c>
      <c r="K33" s="3">
        <v>4</v>
      </c>
      <c r="L33" s="3" t="s">
        <v>27</v>
      </c>
      <c r="M33" s="3">
        <v>2.6796609650000001</v>
      </c>
      <c r="N33" s="3" t="s">
        <v>28</v>
      </c>
      <c r="O33" s="3" t="s">
        <v>62</v>
      </c>
      <c r="P33" s="3">
        <v>24</v>
      </c>
      <c r="Q33" s="3">
        <v>461</v>
      </c>
      <c r="R33" s="3">
        <v>8</v>
      </c>
      <c r="S33" s="3">
        <v>60.251145659999999</v>
      </c>
      <c r="T33" s="3" t="s">
        <v>30</v>
      </c>
      <c r="U33" s="3">
        <v>2.989000007</v>
      </c>
      <c r="V33" s="3" t="s">
        <v>47</v>
      </c>
      <c r="W33" s="3" t="s">
        <v>41</v>
      </c>
      <c r="X33" s="3">
        <v>609.37920659999997</v>
      </c>
      <c r="Y33" s="3">
        <f>supply_chain_data!$F33-supply_chain_data!$X33</f>
        <v>9045.7558964</v>
      </c>
      <c r="Z33" s="3" t="str">
        <f>IF(supply_chain_data!$H33&lt;20,"Low Stock","Available")</f>
        <v>Low Stock</v>
      </c>
      <c r="AA33" s="3" t="str">
        <f>IF(supply_chain_data!$K33&gt;7,"Delayed","On Time")</f>
        <v>On Time</v>
      </c>
    </row>
    <row r="34" spans="1:27" x14ac:dyDescent="0.3">
      <c r="A34" s="2" t="s">
        <v>33</v>
      </c>
      <c r="B34" s="2" t="s">
        <v>86</v>
      </c>
      <c r="C34" s="2">
        <v>79.209936020000001</v>
      </c>
      <c r="D34" s="2">
        <v>43</v>
      </c>
      <c r="E34" s="2">
        <v>781</v>
      </c>
      <c r="F34" s="2">
        <v>9571.5504870000004</v>
      </c>
      <c r="G34" s="2" t="s">
        <v>38</v>
      </c>
      <c r="H34" s="2">
        <v>89</v>
      </c>
      <c r="I34" s="2">
        <v>13</v>
      </c>
      <c r="J34" s="2">
        <v>64</v>
      </c>
      <c r="K34" s="2">
        <v>4</v>
      </c>
      <c r="L34" s="2" t="s">
        <v>43</v>
      </c>
      <c r="M34" s="2">
        <v>6.5991049009999996</v>
      </c>
      <c r="N34" s="2" t="s">
        <v>28</v>
      </c>
      <c r="O34" s="2" t="s">
        <v>45</v>
      </c>
      <c r="P34" s="2">
        <v>30</v>
      </c>
      <c r="Q34" s="2">
        <v>737</v>
      </c>
      <c r="R34" s="2">
        <v>7</v>
      </c>
      <c r="S34" s="2">
        <v>29.692467149999999</v>
      </c>
      <c r="T34" s="2" t="s">
        <v>64</v>
      </c>
      <c r="U34" s="2">
        <v>1.946036119</v>
      </c>
      <c r="V34" s="2" t="s">
        <v>31</v>
      </c>
      <c r="W34" s="2" t="s">
        <v>48</v>
      </c>
      <c r="X34" s="2">
        <v>761.17390950000004</v>
      </c>
      <c r="Y34" s="2">
        <f>supply_chain_data!$F34-supply_chain_data!$X34</f>
        <v>8810.3765775000011</v>
      </c>
      <c r="Z34" s="2" t="str">
        <f>IF(supply_chain_data!$H34&lt;20,"Low Stock","Available")</f>
        <v>Available</v>
      </c>
      <c r="AA34" s="2" t="str">
        <f>IF(supply_chain_data!$K34&gt;7,"Delayed","On Time")</f>
        <v>On Time</v>
      </c>
    </row>
    <row r="35" spans="1:27" x14ac:dyDescent="0.3">
      <c r="A35" s="3" t="s">
        <v>57</v>
      </c>
      <c r="B35" s="3" t="s">
        <v>87</v>
      </c>
      <c r="C35" s="3">
        <v>64.795434999999998</v>
      </c>
      <c r="D35" s="3">
        <v>63</v>
      </c>
      <c r="E35" s="3">
        <v>616</v>
      </c>
      <c r="F35" s="3">
        <v>5149.9983499999998</v>
      </c>
      <c r="G35" s="3" t="s">
        <v>26</v>
      </c>
      <c r="H35" s="3">
        <v>4</v>
      </c>
      <c r="I35" s="3">
        <v>17</v>
      </c>
      <c r="J35" s="3">
        <v>95</v>
      </c>
      <c r="K35" s="3">
        <v>9</v>
      </c>
      <c r="L35" s="3" t="s">
        <v>43</v>
      </c>
      <c r="M35" s="3">
        <v>4.858270503</v>
      </c>
      <c r="N35" s="3" t="s">
        <v>44</v>
      </c>
      <c r="O35" s="3" t="s">
        <v>62</v>
      </c>
      <c r="P35" s="3">
        <v>1</v>
      </c>
      <c r="Q35" s="3">
        <v>251</v>
      </c>
      <c r="R35" s="3">
        <v>23</v>
      </c>
      <c r="S35" s="3">
        <v>23.85342751</v>
      </c>
      <c r="T35" s="3" t="s">
        <v>46</v>
      </c>
      <c r="U35" s="3">
        <v>3.5410460119999998</v>
      </c>
      <c r="V35" s="3" t="s">
        <v>56</v>
      </c>
      <c r="W35" s="3" t="s">
        <v>48</v>
      </c>
      <c r="X35" s="3">
        <v>371.25529549999999</v>
      </c>
      <c r="Y35" s="3">
        <f>supply_chain_data!$F35-supply_chain_data!$X35</f>
        <v>4778.7430544999997</v>
      </c>
      <c r="Z35" s="3" t="str">
        <f>IF(supply_chain_data!$H35&lt;20,"Low Stock","Available")</f>
        <v>Low Stock</v>
      </c>
      <c r="AA35" s="3" t="str">
        <f>IF(supply_chain_data!$K35&gt;7,"Delayed","On Time")</f>
        <v>Delayed</v>
      </c>
    </row>
    <row r="36" spans="1:27" x14ac:dyDescent="0.3">
      <c r="A36" s="2" t="s">
        <v>33</v>
      </c>
      <c r="B36" s="2" t="s">
        <v>88</v>
      </c>
      <c r="C36" s="2">
        <v>37.467592330000002</v>
      </c>
      <c r="D36" s="2">
        <v>96</v>
      </c>
      <c r="E36" s="2">
        <v>602</v>
      </c>
      <c r="F36" s="2">
        <v>9061.7108960000005</v>
      </c>
      <c r="G36" s="2" t="s">
        <v>38</v>
      </c>
      <c r="H36" s="2">
        <v>1</v>
      </c>
      <c r="I36" s="2">
        <v>26</v>
      </c>
      <c r="J36" s="2">
        <v>21</v>
      </c>
      <c r="K36" s="2">
        <v>7</v>
      </c>
      <c r="L36" s="2" t="s">
        <v>36</v>
      </c>
      <c r="M36" s="2">
        <v>1.019487571</v>
      </c>
      <c r="N36" s="2" t="s">
        <v>39</v>
      </c>
      <c r="O36" s="2" t="s">
        <v>62</v>
      </c>
      <c r="P36" s="2">
        <v>4</v>
      </c>
      <c r="Q36" s="2">
        <v>452</v>
      </c>
      <c r="R36" s="2">
        <v>10</v>
      </c>
      <c r="S36" s="2">
        <v>10.754272820000001</v>
      </c>
      <c r="T36" s="2" t="s">
        <v>64</v>
      </c>
      <c r="U36" s="2">
        <v>0.64660455900000002</v>
      </c>
      <c r="V36" s="2" t="s">
        <v>31</v>
      </c>
      <c r="W36" s="2" t="s">
        <v>32</v>
      </c>
      <c r="X36" s="2">
        <v>510.35800039999998</v>
      </c>
      <c r="Y36" s="2">
        <f>supply_chain_data!$F36-supply_chain_data!$X36</f>
        <v>8551.3528956000009</v>
      </c>
      <c r="Z36" s="2" t="str">
        <f>IF(supply_chain_data!$H36&lt;20,"Low Stock","Available")</f>
        <v>Low Stock</v>
      </c>
      <c r="AA36" s="2" t="str">
        <f>IF(supply_chain_data!$K36&gt;7,"Delayed","On Time")</f>
        <v>On Time</v>
      </c>
    </row>
    <row r="37" spans="1:27" x14ac:dyDescent="0.3">
      <c r="A37" s="3" t="s">
        <v>57</v>
      </c>
      <c r="B37" s="3" t="s">
        <v>89</v>
      </c>
      <c r="C37" s="3">
        <v>84.957786819999995</v>
      </c>
      <c r="D37" s="3">
        <v>11</v>
      </c>
      <c r="E37" s="3">
        <v>449</v>
      </c>
      <c r="F37" s="3">
        <v>6541.3293450000001</v>
      </c>
      <c r="G37" s="3" t="s">
        <v>35</v>
      </c>
      <c r="H37" s="3">
        <v>42</v>
      </c>
      <c r="I37" s="3">
        <v>27</v>
      </c>
      <c r="J37" s="3">
        <v>85</v>
      </c>
      <c r="K37" s="3">
        <v>8</v>
      </c>
      <c r="L37" s="3" t="s">
        <v>43</v>
      </c>
      <c r="M37" s="3">
        <v>5.2881899900000002</v>
      </c>
      <c r="N37" s="3" t="s">
        <v>39</v>
      </c>
      <c r="O37" s="3" t="s">
        <v>50</v>
      </c>
      <c r="P37" s="3">
        <v>3</v>
      </c>
      <c r="Q37" s="3">
        <v>367</v>
      </c>
      <c r="R37" s="3">
        <v>2</v>
      </c>
      <c r="S37" s="3">
        <v>58.004787039999997</v>
      </c>
      <c r="T37" s="3" t="s">
        <v>64</v>
      </c>
      <c r="U37" s="3">
        <v>0.54115409800000003</v>
      </c>
      <c r="V37" s="3" t="s">
        <v>56</v>
      </c>
      <c r="W37" s="3" t="s">
        <v>41</v>
      </c>
      <c r="X37" s="3">
        <v>553.42047119999995</v>
      </c>
      <c r="Y37" s="3">
        <f>supply_chain_data!$F37-supply_chain_data!$X37</f>
        <v>5987.9088738</v>
      </c>
      <c r="Z37" s="3" t="str">
        <f>IF(supply_chain_data!$H37&lt;20,"Low Stock","Available")</f>
        <v>Available</v>
      </c>
      <c r="AA37" s="3" t="str">
        <f>IF(supply_chain_data!$K37&gt;7,"Delayed","On Time")</f>
        <v>Delayed</v>
      </c>
    </row>
    <row r="38" spans="1:27" x14ac:dyDescent="0.3">
      <c r="A38" s="2" t="s">
        <v>33</v>
      </c>
      <c r="B38" s="2" t="s">
        <v>90</v>
      </c>
      <c r="C38" s="2">
        <v>9.8130025790000008</v>
      </c>
      <c r="D38" s="2">
        <v>34</v>
      </c>
      <c r="E38" s="2">
        <v>963</v>
      </c>
      <c r="F38" s="2">
        <v>7573.4024579999996</v>
      </c>
      <c r="G38" s="2" t="s">
        <v>35</v>
      </c>
      <c r="H38" s="2">
        <v>18</v>
      </c>
      <c r="I38" s="2">
        <v>23</v>
      </c>
      <c r="J38" s="2">
        <v>28</v>
      </c>
      <c r="K38" s="2">
        <v>3</v>
      </c>
      <c r="L38" s="2" t="s">
        <v>27</v>
      </c>
      <c r="M38" s="2">
        <v>2.1079512669999998</v>
      </c>
      <c r="N38" s="2" t="s">
        <v>61</v>
      </c>
      <c r="O38" s="2" t="s">
        <v>50</v>
      </c>
      <c r="P38" s="2">
        <v>26</v>
      </c>
      <c r="Q38" s="2">
        <v>671</v>
      </c>
      <c r="R38" s="2">
        <v>19</v>
      </c>
      <c r="S38" s="2">
        <v>45.531364240000002</v>
      </c>
      <c r="T38" s="2" t="s">
        <v>46</v>
      </c>
      <c r="U38" s="2">
        <v>3.8055333789999999</v>
      </c>
      <c r="V38" s="2" t="s">
        <v>40</v>
      </c>
      <c r="W38" s="2" t="s">
        <v>41</v>
      </c>
      <c r="X38" s="2">
        <v>403.80897420000002</v>
      </c>
      <c r="Y38" s="2">
        <f>supply_chain_data!$F38-supply_chain_data!$X38</f>
        <v>7169.5934837999994</v>
      </c>
      <c r="Z38" s="2" t="str">
        <f>IF(supply_chain_data!$H38&lt;20,"Low Stock","Available")</f>
        <v>Low Stock</v>
      </c>
      <c r="AA38" s="2" t="str">
        <f>IF(supply_chain_data!$K38&gt;7,"Delayed","On Time")</f>
        <v>On Time</v>
      </c>
    </row>
    <row r="39" spans="1:27" x14ac:dyDescent="0.3">
      <c r="A39" s="3" t="s">
        <v>33</v>
      </c>
      <c r="B39" s="3" t="s">
        <v>91</v>
      </c>
      <c r="C39" s="3">
        <v>23.39984475</v>
      </c>
      <c r="D39" s="3">
        <v>5</v>
      </c>
      <c r="E39" s="3">
        <v>963</v>
      </c>
      <c r="F39" s="3">
        <v>2438.3399300000001</v>
      </c>
      <c r="G39" s="3" t="s">
        <v>35</v>
      </c>
      <c r="H39" s="3">
        <v>25</v>
      </c>
      <c r="I39" s="3">
        <v>8</v>
      </c>
      <c r="J39" s="3">
        <v>21</v>
      </c>
      <c r="K39" s="3">
        <v>9</v>
      </c>
      <c r="L39" s="3" t="s">
        <v>36</v>
      </c>
      <c r="M39" s="3">
        <v>1.5326552739999999</v>
      </c>
      <c r="N39" s="3" t="s">
        <v>28</v>
      </c>
      <c r="O39" s="3" t="s">
        <v>45</v>
      </c>
      <c r="P39" s="3">
        <v>24</v>
      </c>
      <c r="Q39" s="3">
        <v>867</v>
      </c>
      <c r="R39" s="3">
        <v>15</v>
      </c>
      <c r="S39" s="3">
        <v>34.343277469999997</v>
      </c>
      <c r="T39" s="3" t="s">
        <v>30</v>
      </c>
      <c r="U39" s="3">
        <v>2.6102880850000001</v>
      </c>
      <c r="V39" s="3" t="s">
        <v>56</v>
      </c>
      <c r="W39" s="3" t="s">
        <v>48</v>
      </c>
      <c r="X39" s="3">
        <v>183.93296799999999</v>
      </c>
      <c r="Y39" s="3">
        <f>supply_chain_data!$F39-supply_chain_data!$X39</f>
        <v>2254.406962</v>
      </c>
      <c r="Z39" s="3" t="str">
        <f>IF(supply_chain_data!$H39&lt;20,"Low Stock","Available")</f>
        <v>Available</v>
      </c>
      <c r="AA39" s="3" t="str">
        <f>IF(supply_chain_data!$K39&gt;7,"Delayed","On Time")</f>
        <v>Delayed</v>
      </c>
    </row>
    <row r="40" spans="1:27" x14ac:dyDescent="0.3">
      <c r="A40" s="2" t="s">
        <v>57</v>
      </c>
      <c r="B40" s="2" t="s">
        <v>92</v>
      </c>
      <c r="C40" s="2">
        <v>52.075930679999999</v>
      </c>
      <c r="D40" s="2">
        <v>75</v>
      </c>
      <c r="E40" s="2">
        <v>705</v>
      </c>
      <c r="F40" s="2">
        <v>9692.3180400000001</v>
      </c>
      <c r="G40" s="2" t="s">
        <v>26</v>
      </c>
      <c r="H40" s="2">
        <v>69</v>
      </c>
      <c r="I40" s="2">
        <v>1</v>
      </c>
      <c r="J40" s="2">
        <v>88</v>
      </c>
      <c r="K40" s="2">
        <v>5</v>
      </c>
      <c r="L40" s="2" t="s">
        <v>27</v>
      </c>
      <c r="M40" s="2">
        <v>9.2359314369999996</v>
      </c>
      <c r="N40" s="2" t="s">
        <v>44</v>
      </c>
      <c r="O40" s="2" t="s">
        <v>29</v>
      </c>
      <c r="P40" s="2">
        <v>10</v>
      </c>
      <c r="Q40" s="2">
        <v>841</v>
      </c>
      <c r="R40" s="2">
        <v>12</v>
      </c>
      <c r="S40" s="2">
        <v>5.9306936459999999</v>
      </c>
      <c r="T40" s="2" t="s">
        <v>30</v>
      </c>
      <c r="U40" s="2">
        <v>0.61332689900000004</v>
      </c>
      <c r="V40" s="2" t="s">
        <v>40</v>
      </c>
      <c r="W40" s="2" t="s">
        <v>32</v>
      </c>
      <c r="X40" s="2">
        <v>339.67286990000002</v>
      </c>
      <c r="Y40" s="2">
        <f>supply_chain_data!$F40-supply_chain_data!$X40</f>
        <v>9352.6451701000005</v>
      </c>
      <c r="Z40" s="2" t="str">
        <f>IF(supply_chain_data!$H40&lt;20,"Low Stock","Available")</f>
        <v>Available</v>
      </c>
      <c r="AA40" s="2" t="str">
        <f>IF(supply_chain_data!$K40&gt;7,"Delayed","On Time")</f>
        <v>On Time</v>
      </c>
    </row>
    <row r="41" spans="1:27" x14ac:dyDescent="0.3">
      <c r="A41" s="3" t="s">
        <v>33</v>
      </c>
      <c r="B41" s="3" t="s">
        <v>93</v>
      </c>
      <c r="C41" s="3">
        <v>19.12747727</v>
      </c>
      <c r="D41" s="3">
        <v>26</v>
      </c>
      <c r="E41" s="3">
        <v>176</v>
      </c>
      <c r="F41" s="3">
        <v>1912.4656629999999</v>
      </c>
      <c r="G41" s="3" t="s">
        <v>35</v>
      </c>
      <c r="H41" s="3">
        <v>78</v>
      </c>
      <c r="I41" s="3">
        <v>29</v>
      </c>
      <c r="J41" s="3">
        <v>34</v>
      </c>
      <c r="K41" s="3">
        <v>3</v>
      </c>
      <c r="L41" s="3" t="s">
        <v>36</v>
      </c>
      <c r="M41" s="3">
        <v>5.562503779</v>
      </c>
      <c r="N41" s="3" t="s">
        <v>61</v>
      </c>
      <c r="O41" s="3" t="s">
        <v>45</v>
      </c>
      <c r="P41" s="3">
        <v>30</v>
      </c>
      <c r="Q41" s="3">
        <v>791</v>
      </c>
      <c r="R41" s="3">
        <v>6</v>
      </c>
      <c r="S41" s="3">
        <v>9.0058074290000008</v>
      </c>
      <c r="T41" s="3" t="s">
        <v>46</v>
      </c>
      <c r="U41" s="3">
        <v>1.451972204</v>
      </c>
      <c r="V41" s="3" t="s">
        <v>40</v>
      </c>
      <c r="W41" s="3" t="s">
        <v>32</v>
      </c>
      <c r="X41" s="3">
        <v>653.67299460000004</v>
      </c>
      <c r="Y41" s="3">
        <f>supply_chain_data!$F41-supply_chain_data!$X41</f>
        <v>1258.7926683999999</v>
      </c>
      <c r="Z41" s="3" t="str">
        <f>IF(supply_chain_data!$H41&lt;20,"Low Stock","Available")</f>
        <v>Available</v>
      </c>
      <c r="AA41" s="3" t="str">
        <f>IF(supply_chain_data!$K41&gt;7,"Delayed","On Time")</f>
        <v>On Time</v>
      </c>
    </row>
    <row r="42" spans="1:27" x14ac:dyDescent="0.3">
      <c r="A42" s="2" t="s">
        <v>33</v>
      </c>
      <c r="B42" s="2" t="s">
        <v>94</v>
      </c>
      <c r="C42" s="2">
        <v>80.541424169999999</v>
      </c>
      <c r="D42" s="2">
        <v>97</v>
      </c>
      <c r="E42" s="2">
        <v>933</v>
      </c>
      <c r="F42" s="2">
        <v>5724.9593500000001</v>
      </c>
      <c r="G42" s="2" t="s">
        <v>35</v>
      </c>
      <c r="H42" s="2">
        <v>90</v>
      </c>
      <c r="I42" s="2">
        <v>20</v>
      </c>
      <c r="J42" s="2">
        <v>39</v>
      </c>
      <c r="K42" s="2">
        <v>8</v>
      </c>
      <c r="L42" s="2" t="s">
        <v>43</v>
      </c>
      <c r="M42" s="2">
        <v>7.2295951399999998</v>
      </c>
      <c r="N42" s="2" t="s">
        <v>39</v>
      </c>
      <c r="O42" s="2" t="s">
        <v>45</v>
      </c>
      <c r="P42" s="2">
        <v>18</v>
      </c>
      <c r="Q42" s="2">
        <v>793</v>
      </c>
      <c r="R42" s="2">
        <v>1</v>
      </c>
      <c r="S42" s="2">
        <v>88.179407100000006</v>
      </c>
      <c r="T42" s="2" t="s">
        <v>30</v>
      </c>
      <c r="U42" s="2">
        <v>4.2132694309999996</v>
      </c>
      <c r="V42" s="2" t="s">
        <v>31</v>
      </c>
      <c r="W42" s="2" t="s">
        <v>48</v>
      </c>
      <c r="X42" s="2">
        <v>529.80872399999998</v>
      </c>
      <c r="Y42" s="2">
        <f>supply_chain_data!$F42-supply_chain_data!$X42</f>
        <v>5195.1506260000006</v>
      </c>
      <c r="Z42" s="2" t="str">
        <f>IF(supply_chain_data!$H42&lt;20,"Low Stock","Available")</f>
        <v>Available</v>
      </c>
      <c r="AA42" s="2" t="str">
        <f>IF(supply_chain_data!$K42&gt;7,"Delayed","On Time")</f>
        <v>Delayed</v>
      </c>
    </row>
    <row r="43" spans="1:27" x14ac:dyDescent="0.3">
      <c r="A43" s="3" t="s">
        <v>33</v>
      </c>
      <c r="B43" s="3" t="s">
        <v>95</v>
      </c>
      <c r="C43" s="3">
        <v>99.113291619999998</v>
      </c>
      <c r="D43" s="3">
        <v>35</v>
      </c>
      <c r="E43" s="3">
        <v>556</v>
      </c>
      <c r="F43" s="3">
        <v>5521.2052590000003</v>
      </c>
      <c r="G43" s="3" t="s">
        <v>35</v>
      </c>
      <c r="H43" s="3">
        <v>64</v>
      </c>
      <c r="I43" s="3">
        <v>19</v>
      </c>
      <c r="J43" s="3">
        <v>38</v>
      </c>
      <c r="K43" s="3">
        <v>8</v>
      </c>
      <c r="L43" s="3" t="s">
        <v>27</v>
      </c>
      <c r="M43" s="3">
        <v>5.7732637440000003</v>
      </c>
      <c r="N43" s="3" t="s">
        <v>52</v>
      </c>
      <c r="O43" s="3" t="s">
        <v>62</v>
      </c>
      <c r="P43" s="3">
        <v>18</v>
      </c>
      <c r="Q43" s="3">
        <v>892</v>
      </c>
      <c r="R43" s="3">
        <v>7</v>
      </c>
      <c r="S43" s="3">
        <v>95.332064549999998</v>
      </c>
      <c r="T43" s="3" t="s">
        <v>46</v>
      </c>
      <c r="U43" s="3">
        <v>4.5302262000000003E-2</v>
      </c>
      <c r="V43" s="3" t="s">
        <v>56</v>
      </c>
      <c r="W43" s="3" t="s">
        <v>48</v>
      </c>
      <c r="X43" s="3">
        <v>275.5243711</v>
      </c>
      <c r="Y43" s="3">
        <f>supply_chain_data!$F43-supply_chain_data!$X43</f>
        <v>5245.6808879</v>
      </c>
      <c r="Z43" s="3" t="str">
        <f>IF(supply_chain_data!$H43&lt;20,"Low Stock","Available")</f>
        <v>Available</v>
      </c>
      <c r="AA43" s="3" t="str">
        <f>IF(supply_chain_data!$K43&gt;7,"Delayed","On Time")</f>
        <v>Delayed</v>
      </c>
    </row>
    <row r="44" spans="1:27" x14ac:dyDescent="0.3">
      <c r="A44" s="2" t="s">
        <v>33</v>
      </c>
      <c r="B44" s="2" t="s">
        <v>96</v>
      </c>
      <c r="C44" s="2">
        <v>46.529167610000002</v>
      </c>
      <c r="D44" s="2">
        <v>98</v>
      </c>
      <c r="E44" s="2">
        <v>155</v>
      </c>
      <c r="F44" s="2">
        <v>1839.609426</v>
      </c>
      <c r="G44" s="2" t="s">
        <v>35</v>
      </c>
      <c r="H44" s="2">
        <v>22</v>
      </c>
      <c r="I44" s="2">
        <v>27</v>
      </c>
      <c r="J44" s="2">
        <v>57</v>
      </c>
      <c r="K44" s="2">
        <v>4</v>
      </c>
      <c r="L44" s="2" t="s">
        <v>43</v>
      </c>
      <c r="M44" s="2">
        <v>7.5262483270000002</v>
      </c>
      <c r="N44" s="2" t="s">
        <v>44</v>
      </c>
      <c r="O44" s="2" t="s">
        <v>53</v>
      </c>
      <c r="P44" s="2">
        <v>26</v>
      </c>
      <c r="Q44" s="2">
        <v>179</v>
      </c>
      <c r="R44" s="2">
        <v>7</v>
      </c>
      <c r="S44" s="2">
        <v>96.422820639999998</v>
      </c>
      <c r="T44" s="2" t="s">
        <v>46</v>
      </c>
      <c r="U44" s="2">
        <v>4.9392552890000001</v>
      </c>
      <c r="V44" s="2" t="s">
        <v>31</v>
      </c>
      <c r="W44" s="2" t="s">
        <v>48</v>
      </c>
      <c r="X44" s="2">
        <v>635.65712050000002</v>
      </c>
      <c r="Y44" s="2">
        <f>supply_chain_data!$F44-supply_chain_data!$X44</f>
        <v>1203.9523055</v>
      </c>
      <c r="Z44" s="2" t="str">
        <f>IF(supply_chain_data!$H44&lt;20,"Low Stock","Available")</f>
        <v>Available</v>
      </c>
      <c r="AA44" s="2" t="str">
        <f>IF(supply_chain_data!$K44&gt;7,"Delayed","On Time")</f>
        <v>On Time</v>
      </c>
    </row>
    <row r="45" spans="1:27" x14ac:dyDescent="0.3">
      <c r="A45" s="3" t="s">
        <v>24</v>
      </c>
      <c r="B45" s="3" t="s">
        <v>97</v>
      </c>
      <c r="C45" s="3">
        <v>11.743271780000001</v>
      </c>
      <c r="D45" s="3">
        <v>6</v>
      </c>
      <c r="E45" s="3">
        <v>598</v>
      </c>
      <c r="F45" s="3">
        <v>5737.4255990000001</v>
      </c>
      <c r="G45" s="3" t="s">
        <v>38</v>
      </c>
      <c r="H45" s="3">
        <v>36</v>
      </c>
      <c r="I45" s="3">
        <v>29</v>
      </c>
      <c r="J45" s="3">
        <v>85</v>
      </c>
      <c r="K45" s="3">
        <v>9</v>
      </c>
      <c r="L45" s="3" t="s">
        <v>27</v>
      </c>
      <c r="M45" s="3">
        <v>3.6940212680000002</v>
      </c>
      <c r="N45" s="3" t="s">
        <v>44</v>
      </c>
      <c r="O45" s="3" t="s">
        <v>29</v>
      </c>
      <c r="P45" s="3">
        <v>1</v>
      </c>
      <c r="Q45" s="3">
        <v>206</v>
      </c>
      <c r="R45" s="3">
        <v>23</v>
      </c>
      <c r="S45" s="3">
        <v>26.277365960000001</v>
      </c>
      <c r="T45" s="3" t="s">
        <v>30</v>
      </c>
      <c r="U45" s="3">
        <v>0.37230476800000001</v>
      </c>
      <c r="V45" s="3" t="s">
        <v>40</v>
      </c>
      <c r="W45" s="3" t="s">
        <v>48</v>
      </c>
      <c r="X45" s="3">
        <v>716.04411979999998</v>
      </c>
      <c r="Y45" s="3">
        <f>supply_chain_data!$F45-supply_chain_data!$X45</f>
        <v>5021.3814792000003</v>
      </c>
      <c r="Z45" s="3" t="str">
        <f>IF(supply_chain_data!$H45&lt;20,"Low Stock","Available")</f>
        <v>Available</v>
      </c>
      <c r="AA45" s="3" t="str">
        <f>IF(supply_chain_data!$K45&gt;7,"Delayed","On Time")</f>
        <v>Delayed</v>
      </c>
    </row>
    <row r="46" spans="1:27" x14ac:dyDescent="0.3">
      <c r="A46" s="2" t="s">
        <v>57</v>
      </c>
      <c r="B46" s="2" t="s">
        <v>98</v>
      </c>
      <c r="C46" s="2">
        <v>51.355790910000003</v>
      </c>
      <c r="D46" s="2">
        <v>34</v>
      </c>
      <c r="E46" s="2">
        <v>919</v>
      </c>
      <c r="F46" s="2">
        <v>7152.2860490000003</v>
      </c>
      <c r="G46" s="2" t="s">
        <v>35</v>
      </c>
      <c r="H46" s="2">
        <v>13</v>
      </c>
      <c r="I46" s="2">
        <v>19</v>
      </c>
      <c r="J46" s="2">
        <v>72</v>
      </c>
      <c r="K46" s="2">
        <v>6</v>
      </c>
      <c r="L46" s="2" t="s">
        <v>43</v>
      </c>
      <c r="M46" s="2">
        <v>7.5774496569999998</v>
      </c>
      <c r="N46" s="2" t="s">
        <v>61</v>
      </c>
      <c r="O46" s="2" t="s">
        <v>50</v>
      </c>
      <c r="P46" s="2">
        <v>7</v>
      </c>
      <c r="Q46" s="2">
        <v>834</v>
      </c>
      <c r="R46" s="2">
        <v>18</v>
      </c>
      <c r="S46" s="2">
        <v>22.554106619999999</v>
      </c>
      <c r="T46" s="2" t="s">
        <v>46</v>
      </c>
      <c r="U46" s="2">
        <v>2.96262632</v>
      </c>
      <c r="V46" s="2" t="s">
        <v>47</v>
      </c>
      <c r="W46" s="2" t="s">
        <v>48</v>
      </c>
      <c r="X46" s="2">
        <v>610.4532696</v>
      </c>
      <c r="Y46" s="2">
        <f>supply_chain_data!$F46-supply_chain_data!$X46</f>
        <v>6541.8327794000006</v>
      </c>
      <c r="Z46" s="2" t="str">
        <f>IF(supply_chain_data!$H46&lt;20,"Low Stock","Available")</f>
        <v>Low Stock</v>
      </c>
      <c r="AA46" s="2" t="str">
        <f>IF(supply_chain_data!$K46&gt;7,"Delayed","On Time")</f>
        <v>On Time</v>
      </c>
    </row>
    <row r="47" spans="1:27" x14ac:dyDescent="0.3">
      <c r="A47" s="3" t="s">
        <v>24</v>
      </c>
      <c r="B47" s="3" t="s">
        <v>99</v>
      </c>
      <c r="C47" s="3">
        <v>33.784138030000001</v>
      </c>
      <c r="D47" s="3">
        <v>1</v>
      </c>
      <c r="E47" s="3">
        <v>24</v>
      </c>
      <c r="F47" s="3">
        <v>5267.9568079999999</v>
      </c>
      <c r="G47" s="3" t="s">
        <v>55</v>
      </c>
      <c r="H47" s="3">
        <v>93</v>
      </c>
      <c r="I47" s="3">
        <v>7</v>
      </c>
      <c r="J47" s="3">
        <v>52</v>
      </c>
      <c r="K47" s="3">
        <v>6</v>
      </c>
      <c r="L47" s="3" t="s">
        <v>27</v>
      </c>
      <c r="M47" s="3">
        <v>5.2151550090000001</v>
      </c>
      <c r="N47" s="3" t="s">
        <v>61</v>
      </c>
      <c r="O47" s="3" t="s">
        <v>62</v>
      </c>
      <c r="P47" s="3">
        <v>25</v>
      </c>
      <c r="Q47" s="3">
        <v>794</v>
      </c>
      <c r="R47" s="3">
        <v>25</v>
      </c>
      <c r="S47" s="3">
        <v>66.312544439999996</v>
      </c>
      <c r="T47" s="3" t="s">
        <v>64</v>
      </c>
      <c r="U47" s="3">
        <v>3.2196046119999999</v>
      </c>
      <c r="V47" s="3" t="s">
        <v>47</v>
      </c>
      <c r="W47" s="3" t="s">
        <v>48</v>
      </c>
      <c r="X47" s="3">
        <v>495.30569700000001</v>
      </c>
      <c r="Y47" s="3">
        <f>supply_chain_data!$F47-supply_chain_data!$X47</f>
        <v>4772.6511110000001</v>
      </c>
      <c r="Z47" s="3" t="str">
        <f>IF(supply_chain_data!$H47&lt;20,"Low Stock","Available")</f>
        <v>Available</v>
      </c>
      <c r="AA47" s="3" t="str">
        <f>IF(supply_chain_data!$K47&gt;7,"Delayed","On Time")</f>
        <v>On Time</v>
      </c>
    </row>
    <row r="48" spans="1:27" x14ac:dyDescent="0.3">
      <c r="A48" s="2" t="s">
        <v>24</v>
      </c>
      <c r="B48" s="2" t="s">
        <v>100</v>
      </c>
      <c r="C48" s="2">
        <v>27.082207199999999</v>
      </c>
      <c r="D48" s="2">
        <v>75</v>
      </c>
      <c r="E48" s="2">
        <v>859</v>
      </c>
      <c r="F48" s="2">
        <v>2556.7673610000002</v>
      </c>
      <c r="G48" s="2" t="s">
        <v>26</v>
      </c>
      <c r="H48" s="2">
        <v>92</v>
      </c>
      <c r="I48" s="2">
        <v>29</v>
      </c>
      <c r="J48" s="2">
        <v>6</v>
      </c>
      <c r="K48" s="2">
        <v>8</v>
      </c>
      <c r="L48" s="2" t="s">
        <v>27</v>
      </c>
      <c r="M48" s="2">
        <v>4.0709558369999996</v>
      </c>
      <c r="N48" s="2" t="s">
        <v>28</v>
      </c>
      <c r="O48" s="2" t="s">
        <v>62</v>
      </c>
      <c r="P48" s="2">
        <v>18</v>
      </c>
      <c r="Q48" s="2">
        <v>870</v>
      </c>
      <c r="R48" s="2">
        <v>23</v>
      </c>
      <c r="S48" s="2">
        <v>77.322353210000003</v>
      </c>
      <c r="T48" s="2" t="s">
        <v>30</v>
      </c>
      <c r="U48" s="2">
        <v>3.6486105929999999</v>
      </c>
      <c r="V48" s="2" t="s">
        <v>31</v>
      </c>
      <c r="W48" s="2" t="s">
        <v>32</v>
      </c>
      <c r="X48" s="2">
        <v>380.43593709999999</v>
      </c>
      <c r="Y48" s="2">
        <f>supply_chain_data!$F48-supply_chain_data!$X48</f>
        <v>2176.3314239000001</v>
      </c>
      <c r="Z48" s="2" t="str">
        <f>IF(supply_chain_data!$H48&lt;20,"Low Stock","Available")</f>
        <v>Available</v>
      </c>
      <c r="AA48" s="2" t="str">
        <f>IF(supply_chain_data!$K48&gt;7,"Delayed","On Time")</f>
        <v>Delayed</v>
      </c>
    </row>
    <row r="49" spans="1:27" x14ac:dyDescent="0.3">
      <c r="A49" s="3" t="s">
        <v>33</v>
      </c>
      <c r="B49" s="3" t="s">
        <v>101</v>
      </c>
      <c r="C49" s="3">
        <v>95.712135880000005</v>
      </c>
      <c r="D49" s="3">
        <v>93</v>
      </c>
      <c r="E49" s="3">
        <v>910</v>
      </c>
      <c r="F49" s="3">
        <v>7089.4742500000002</v>
      </c>
      <c r="G49" s="3" t="s">
        <v>55</v>
      </c>
      <c r="H49" s="3">
        <v>4</v>
      </c>
      <c r="I49" s="3">
        <v>15</v>
      </c>
      <c r="J49" s="3">
        <v>51</v>
      </c>
      <c r="K49" s="3">
        <v>9</v>
      </c>
      <c r="L49" s="3" t="s">
        <v>27</v>
      </c>
      <c r="M49" s="3">
        <v>8.9787507560000002</v>
      </c>
      <c r="N49" s="3" t="s">
        <v>39</v>
      </c>
      <c r="O49" s="3" t="s">
        <v>45</v>
      </c>
      <c r="P49" s="3">
        <v>10</v>
      </c>
      <c r="Q49" s="3">
        <v>964</v>
      </c>
      <c r="R49" s="3">
        <v>20</v>
      </c>
      <c r="S49" s="3">
        <v>19.712992910000001</v>
      </c>
      <c r="T49" s="3" t="s">
        <v>30</v>
      </c>
      <c r="U49" s="3">
        <v>0.38057358699999999</v>
      </c>
      <c r="V49" s="3" t="s">
        <v>47</v>
      </c>
      <c r="W49" s="3" t="s">
        <v>48</v>
      </c>
      <c r="X49" s="3">
        <v>581.60235509999995</v>
      </c>
      <c r="Y49" s="3">
        <f>supply_chain_data!$F49-supply_chain_data!$X49</f>
        <v>6507.8718949000004</v>
      </c>
      <c r="Z49" s="3" t="str">
        <f>IF(supply_chain_data!$H49&lt;20,"Low Stock","Available")</f>
        <v>Low Stock</v>
      </c>
      <c r="AA49" s="3" t="str">
        <f>IF(supply_chain_data!$K49&gt;7,"Delayed","On Time")</f>
        <v>Delayed</v>
      </c>
    </row>
    <row r="50" spans="1:27" x14ac:dyDescent="0.3">
      <c r="A50" s="2" t="s">
        <v>24</v>
      </c>
      <c r="B50" s="2" t="s">
        <v>102</v>
      </c>
      <c r="C50" s="2">
        <v>76.035544430000002</v>
      </c>
      <c r="D50" s="2">
        <v>28</v>
      </c>
      <c r="E50" s="2">
        <v>29</v>
      </c>
      <c r="F50" s="2">
        <v>7397.0710049999998</v>
      </c>
      <c r="G50" s="2" t="s">
        <v>26</v>
      </c>
      <c r="H50" s="2">
        <v>30</v>
      </c>
      <c r="I50" s="2">
        <v>16</v>
      </c>
      <c r="J50" s="2">
        <v>9</v>
      </c>
      <c r="K50" s="2">
        <v>3</v>
      </c>
      <c r="L50" s="2" t="s">
        <v>43</v>
      </c>
      <c r="M50" s="2">
        <v>7.0958331570000004</v>
      </c>
      <c r="N50" s="2" t="s">
        <v>61</v>
      </c>
      <c r="O50" s="2" t="s">
        <v>29</v>
      </c>
      <c r="P50" s="2">
        <v>9</v>
      </c>
      <c r="Q50" s="2">
        <v>109</v>
      </c>
      <c r="R50" s="2">
        <v>18</v>
      </c>
      <c r="S50" s="2">
        <v>23.12636358</v>
      </c>
      <c r="T50" s="2" t="s">
        <v>46</v>
      </c>
      <c r="U50" s="2">
        <v>1.698112541</v>
      </c>
      <c r="V50" s="2" t="s">
        <v>47</v>
      </c>
      <c r="W50" s="2" t="s">
        <v>32</v>
      </c>
      <c r="X50" s="2">
        <v>768.65191400000003</v>
      </c>
      <c r="Y50" s="2">
        <f>supply_chain_data!$F50-supply_chain_data!$X50</f>
        <v>6628.4190909999998</v>
      </c>
      <c r="Z50" s="2" t="str">
        <f>IF(supply_chain_data!$H50&lt;20,"Low Stock","Available")</f>
        <v>Available</v>
      </c>
      <c r="AA50" s="2" t="str">
        <f>IF(supply_chain_data!$K50&gt;7,"Delayed","On Time")</f>
        <v>On Time</v>
      </c>
    </row>
    <row r="51" spans="1:27" x14ac:dyDescent="0.3">
      <c r="A51" s="3" t="s">
        <v>57</v>
      </c>
      <c r="B51" s="3" t="s">
        <v>103</v>
      </c>
      <c r="C51" s="3">
        <v>78.897913209999999</v>
      </c>
      <c r="D51" s="3">
        <v>19</v>
      </c>
      <c r="E51" s="3">
        <v>99</v>
      </c>
      <c r="F51" s="3">
        <v>8001.6132070000003</v>
      </c>
      <c r="G51" s="3" t="s">
        <v>38</v>
      </c>
      <c r="H51" s="3">
        <v>97</v>
      </c>
      <c r="I51" s="3">
        <v>24</v>
      </c>
      <c r="J51" s="3">
        <v>9</v>
      </c>
      <c r="K51" s="3">
        <v>6</v>
      </c>
      <c r="L51" s="3" t="s">
        <v>43</v>
      </c>
      <c r="M51" s="3">
        <v>2.5056210330000002</v>
      </c>
      <c r="N51" s="3" t="s">
        <v>44</v>
      </c>
      <c r="O51" s="3" t="s">
        <v>50</v>
      </c>
      <c r="P51" s="3">
        <v>28</v>
      </c>
      <c r="Q51" s="3">
        <v>177</v>
      </c>
      <c r="R51" s="3">
        <v>28</v>
      </c>
      <c r="S51" s="3">
        <v>14.14781544</v>
      </c>
      <c r="T51" s="3" t="s">
        <v>64</v>
      </c>
      <c r="U51" s="3">
        <v>2.8258139849999999</v>
      </c>
      <c r="V51" s="3" t="s">
        <v>47</v>
      </c>
      <c r="W51" s="3" t="s">
        <v>48</v>
      </c>
      <c r="X51" s="3">
        <v>336.89016850000002</v>
      </c>
      <c r="Y51" s="3">
        <f>supply_chain_data!$F51-supply_chain_data!$X51</f>
        <v>7664.7230385000003</v>
      </c>
      <c r="Z51" s="3" t="str">
        <f>IF(supply_chain_data!$H51&lt;20,"Low Stock","Available")</f>
        <v>Available</v>
      </c>
      <c r="AA51" s="3" t="str">
        <f>IF(supply_chain_data!$K51&gt;7,"Delayed","On Time")</f>
        <v>On Time</v>
      </c>
    </row>
    <row r="52" spans="1:27" x14ac:dyDescent="0.3">
      <c r="A52" s="2" t="s">
        <v>57</v>
      </c>
      <c r="B52" s="2" t="s">
        <v>104</v>
      </c>
      <c r="C52" s="2">
        <v>14.20348426</v>
      </c>
      <c r="D52" s="2">
        <v>91</v>
      </c>
      <c r="E52" s="2">
        <v>633</v>
      </c>
      <c r="F52" s="2">
        <v>5910.8853900000004</v>
      </c>
      <c r="G52" s="2" t="s">
        <v>35</v>
      </c>
      <c r="H52" s="2">
        <v>31</v>
      </c>
      <c r="I52" s="2">
        <v>23</v>
      </c>
      <c r="J52" s="2">
        <v>82</v>
      </c>
      <c r="K52" s="2">
        <v>10</v>
      </c>
      <c r="L52" s="2" t="s">
        <v>36</v>
      </c>
      <c r="M52" s="2">
        <v>6.2478609150000004</v>
      </c>
      <c r="N52" s="2" t="s">
        <v>61</v>
      </c>
      <c r="O52" s="2" t="s">
        <v>50</v>
      </c>
      <c r="P52" s="2">
        <v>20</v>
      </c>
      <c r="Q52" s="2">
        <v>306</v>
      </c>
      <c r="R52" s="2">
        <v>21</v>
      </c>
      <c r="S52" s="2">
        <v>45.178757920000002</v>
      </c>
      <c r="T52" s="2" t="s">
        <v>46</v>
      </c>
      <c r="U52" s="2">
        <v>4.7548008050000004</v>
      </c>
      <c r="V52" s="2" t="s">
        <v>47</v>
      </c>
      <c r="W52" s="2" t="s">
        <v>32</v>
      </c>
      <c r="X52" s="2">
        <v>496.24865030000001</v>
      </c>
      <c r="Y52" s="2">
        <f>supply_chain_data!$F52-supply_chain_data!$X52</f>
        <v>5414.6367397000004</v>
      </c>
      <c r="Z52" s="2" t="str">
        <f>IF(supply_chain_data!$H52&lt;20,"Low Stock","Available")</f>
        <v>Available</v>
      </c>
      <c r="AA52" s="2" t="str">
        <f>IF(supply_chain_data!$K52&gt;7,"Delayed","On Time")</f>
        <v>Delayed</v>
      </c>
    </row>
    <row r="53" spans="1:27" x14ac:dyDescent="0.3">
      <c r="A53" s="3" t="s">
        <v>24</v>
      </c>
      <c r="B53" s="3" t="s">
        <v>105</v>
      </c>
      <c r="C53" s="3">
        <v>26.700760970000001</v>
      </c>
      <c r="D53" s="3">
        <v>61</v>
      </c>
      <c r="E53" s="3">
        <v>154</v>
      </c>
      <c r="F53" s="3">
        <v>9866.4654580000006</v>
      </c>
      <c r="G53" s="3" t="s">
        <v>55</v>
      </c>
      <c r="H53" s="3">
        <v>100</v>
      </c>
      <c r="I53" s="3">
        <v>4</v>
      </c>
      <c r="J53" s="3">
        <v>52</v>
      </c>
      <c r="K53" s="3">
        <v>1</v>
      </c>
      <c r="L53" s="3" t="s">
        <v>36</v>
      </c>
      <c r="M53" s="3">
        <v>4.7830005580000003</v>
      </c>
      <c r="N53" s="3" t="s">
        <v>44</v>
      </c>
      <c r="O53" s="3" t="s">
        <v>53</v>
      </c>
      <c r="P53" s="3">
        <v>18</v>
      </c>
      <c r="Q53" s="3">
        <v>673</v>
      </c>
      <c r="R53" s="3">
        <v>28</v>
      </c>
      <c r="S53" s="3">
        <v>14.190328340000001</v>
      </c>
      <c r="T53" s="3" t="s">
        <v>30</v>
      </c>
      <c r="U53" s="3">
        <v>1.772951172</v>
      </c>
      <c r="V53" s="3" t="s">
        <v>31</v>
      </c>
      <c r="W53" s="3" t="s">
        <v>48</v>
      </c>
      <c r="X53" s="3">
        <v>694.98231759999999</v>
      </c>
      <c r="Y53" s="3">
        <f>supply_chain_data!$F53-supply_chain_data!$X53</f>
        <v>9171.4831403999997</v>
      </c>
      <c r="Z53" s="3" t="str">
        <f>IF(supply_chain_data!$H53&lt;20,"Low Stock","Available")</f>
        <v>Available</v>
      </c>
      <c r="AA53" s="3" t="str">
        <f>IF(supply_chain_data!$K53&gt;7,"Delayed","On Time")</f>
        <v>On Time</v>
      </c>
    </row>
    <row r="54" spans="1:27" x14ac:dyDescent="0.3">
      <c r="A54" s="2" t="s">
        <v>33</v>
      </c>
      <c r="B54" s="2" t="s">
        <v>106</v>
      </c>
      <c r="C54" s="2">
        <v>98.03182966</v>
      </c>
      <c r="D54" s="2">
        <v>1</v>
      </c>
      <c r="E54" s="2">
        <v>820</v>
      </c>
      <c r="F54" s="2">
        <v>9435.7626089999994</v>
      </c>
      <c r="G54" s="2" t="s">
        <v>55</v>
      </c>
      <c r="H54" s="2">
        <v>64</v>
      </c>
      <c r="I54" s="2">
        <v>11</v>
      </c>
      <c r="J54" s="2">
        <v>11</v>
      </c>
      <c r="K54" s="2">
        <v>1</v>
      </c>
      <c r="L54" s="2" t="s">
        <v>27</v>
      </c>
      <c r="M54" s="2">
        <v>8.6310521799999993</v>
      </c>
      <c r="N54" s="2" t="s">
        <v>39</v>
      </c>
      <c r="O54" s="2" t="s">
        <v>29</v>
      </c>
      <c r="P54" s="2">
        <v>10</v>
      </c>
      <c r="Q54" s="2">
        <v>727</v>
      </c>
      <c r="R54" s="2">
        <v>27</v>
      </c>
      <c r="S54" s="2">
        <v>9.1668491490000008</v>
      </c>
      <c r="T54" s="2" t="s">
        <v>30</v>
      </c>
      <c r="U54" s="2">
        <v>2.1224716190000001</v>
      </c>
      <c r="V54" s="2" t="s">
        <v>40</v>
      </c>
      <c r="W54" s="2" t="s">
        <v>41</v>
      </c>
      <c r="X54" s="2">
        <v>602.89849879999997</v>
      </c>
      <c r="Y54" s="2">
        <f>supply_chain_data!$F54-supply_chain_data!$X54</f>
        <v>8832.8641102000001</v>
      </c>
      <c r="Z54" s="2" t="str">
        <f>IF(supply_chain_data!$H54&lt;20,"Low Stock","Available")</f>
        <v>Available</v>
      </c>
      <c r="AA54" s="2" t="str">
        <f>IF(supply_chain_data!$K54&gt;7,"Delayed","On Time")</f>
        <v>On Time</v>
      </c>
    </row>
    <row r="55" spans="1:27" x14ac:dyDescent="0.3">
      <c r="A55" s="3" t="s">
        <v>33</v>
      </c>
      <c r="B55" s="3" t="s">
        <v>107</v>
      </c>
      <c r="C55" s="3">
        <v>30.341470709999999</v>
      </c>
      <c r="D55" s="3">
        <v>93</v>
      </c>
      <c r="E55" s="3">
        <v>242</v>
      </c>
      <c r="F55" s="3">
        <v>8232.3348289999994</v>
      </c>
      <c r="G55" s="3" t="s">
        <v>55</v>
      </c>
      <c r="H55" s="3">
        <v>96</v>
      </c>
      <c r="I55" s="3">
        <v>25</v>
      </c>
      <c r="J55" s="3">
        <v>54</v>
      </c>
      <c r="K55" s="3">
        <v>3</v>
      </c>
      <c r="L55" s="3" t="s">
        <v>27</v>
      </c>
      <c r="M55" s="3">
        <v>1.0134865660000001</v>
      </c>
      <c r="N55" s="3" t="s">
        <v>39</v>
      </c>
      <c r="O55" s="3" t="s">
        <v>50</v>
      </c>
      <c r="P55" s="3">
        <v>1</v>
      </c>
      <c r="Q55" s="3">
        <v>631</v>
      </c>
      <c r="R55" s="3">
        <v>17</v>
      </c>
      <c r="S55" s="3">
        <v>83.344058989999994</v>
      </c>
      <c r="T55" s="3" t="s">
        <v>30</v>
      </c>
      <c r="U55" s="3">
        <v>1.4103475759999999</v>
      </c>
      <c r="V55" s="3" t="s">
        <v>40</v>
      </c>
      <c r="W55" s="3" t="s">
        <v>32</v>
      </c>
      <c r="X55" s="3">
        <v>750.73784069999999</v>
      </c>
      <c r="Y55" s="3">
        <f>supply_chain_data!$F55-supply_chain_data!$X55</f>
        <v>7481.5969882999998</v>
      </c>
      <c r="Z55" s="3" t="str">
        <f>IF(supply_chain_data!$H55&lt;20,"Low Stock","Available")</f>
        <v>Available</v>
      </c>
      <c r="AA55" s="3" t="str">
        <f>IF(supply_chain_data!$K55&gt;7,"Delayed","On Time")</f>
        <v>On Time</v>
      </c>
    </row>
    <row r="56" spans="1:27" x14ac:dyDescent="0.3">
      <c r="A56" s="2" t="s">
        <v>24</v>
      </c>
      <c r="B56" s="2" t="s">
        <v>108</v>
      </c>
      <c r="C56" s="2">
        <v>31.146243160000001</v>
      </c>
      <c r="D56" s="2">
        <v>11</v>
      </c>
      <c r="E56" s="2">
        <v>622</v>
      </c>
      <c r="F56" s="2">
        <v>6088.0214800000003</v>
      </c>
      <c r="G56" s="2" t="s">
        <v>26</v>
      </c>
      <c r="H56" s="2">
        <v>33</v>
      </c>
      <c r="I56" s="2">
        <v>22</v>
      </c>
      <c r="J56" s="2">
        <v>61</v>
      </c>
      <c r="K56" s="2">
        <v>3</v>
      </c>
      <c r="L56" s="2" t="s">
        <v>27</v>
      </c>
      <c r="M56" s="2">
        <v>4.3051034709999998</v>
      </c>
      <c r="N56" s="2" t="s">
        <v>39</v>
      </c>
      <c r="O56" s="2" t="s">
        <v>45</v>
      </c>
      <c r="P56" s="2">
        <v>26</v>
      </c>
      <c r="Q56" s="2">
        <v>497</v>
      </c>
      <c r="R56" s="2">
        <v>29</v>
      </c>
      <c r="S56" s="2">
        <v>30.186023380000002</v>
      </c>
      <c r="T56" s="2" t="s">
        <v>64</v>
      </c>
      <c r="U56" s="2">
        <v>2.478771976</v>
      </c>
      <c r="V56" s="2" t="s">
        <v>31</v>
      </c>
      <c r="W56" s="2" t="s">
        <v>32</v>
      </c>
      <c r="X56" s="2">
        <v>814.06999659999997</v>
      </c>
      <c r="Y56" s="2">
        <f>supply_chain_data!$F56-supply_chain_data!$X56</f>
        <v>5273.9514834000001</v>
      </c>
      <c r="Z56" s="2" t="str">
        <f>IF(supply_chain_data!$H56&lt;20,"Low Stock","Available")</f>
        <v>Available</v>
      </c>
      <c r="AA56" s="2" t="str">
        <f>IF(supply_chain_data!$K56&gt;7,"Delayed","On Time")</f>
        <v>On Time</v>
      </c>
    </row>
    <row r="57" spans="1:27" x14ac:dyDescent="0.3">
      <c r="A57" s="3" t="s">
        <v>24</v>
      </c>
      <c r="B57" s="3" t="s">
        <v>109</v>
      </c>
      <c r="C57" s="3">
        <v>79.855058339999999</v>
      </c>
      <c r="D57" s="3">
        <v>16</v>
      </c>
      <c r="E57" s="3">
        <v>701</v>
      </c>
      <c r="F57" s="3">
        <v>2925.67517</v>
      </c>
      <c r="G57" s="3" t="s">
        <v>55</v>
      </c>
      <c r="H57" s="3">
        <v>97</v>
      </c>
      <c r="I57" s="3">
        <v>11</v>
      </c>
      <c r="J57" s="3">
        <v>11</v>
      </c>
      <c r="K57" s="3">
        <v>5</v>
      </c>
      <c r="L57" s="3" t="s">
        <v>36</v>
      </c>
      <c r="M57" s="3">
        <v>5.0143649549999996</v>
      </c>
      <c r="N57" s="3" t="s">
        <v>61</v>
      </c>
      <c r="O57" s="3" t="s">
        <v>50</v>
      </c>
      <c r="P57" s="3">
        <v>27</v>
      </c>
      <c r="Q57" s="3">
        <v>918</v>
      </c>
      <c r="R57" s="3">
        <v>5</v>
      </c>
      <c r="S57" s="3">
        <v>30.32354526</v>
      </c>
      <c r="T57" s="3" t="s">
        <v>46</v>
      </c>
      <c r="U57" s="3">
        <v>4.5489196590000001</v>
      </c>
      <c r="V57" s="3" t="s">
        <v>56</v>
      </c>
      <c r="W57" s="3" t="s">
        <v>32</v>
      </c>
      <c r="X57" s="3">
        <v>323.01292799999999</v>
      </c>
      <c r="Y57" s="3">
        <f>supply_chain_data!$F57-supply_chain_data!$X57</f>
        <v>2602.6622419999999</v>
      </c>
      <c r="Z57" s="3" t="str">
        <f>IF(supply_chain_data!$H57&lt;20,"Low Stock","Available")</f>
        <v>Available</v>
      </c>
      <c r="AA57" s="3" t="str">
        <f>IF(supply_chain_data!$K57&gt;7,"Delayed","On Time")</f>
        <v>On Time</v>
      </c>
    </row>
    <row r="58" spans="1:27" x14ac:dyDescent="0.3">
      <c r="A58" s="2" t="s">
        <v>33</v>
      </c>
      <c r="B58" s="2" t="s">
        <v>110</v>
      </c>
      <c r="C58" s="2">
        <v>20.986386039999999</v>
      </c>
      <c r="D58" s="2">
        <v>90</v>
      </c>
      <c r="E58" s="2">
        <v>93</v>
      </c>
      <c r="F58" s="2">
        <v>4767.0204839999997</v>
      </c>
      <c r="G58" s="2" t="s">
        <v>26</v>
      </c>
      <c r="H58" s="2">
        <v>25</v>
      </c>
      <c r="I58" s="2">
        <v>23</v>
      </c>
      <c r="J58" s="2">
        <v>83</v>
      </c>
      <c r="K58" s="2">
        <v>5</v>
      </c>
      <c r="L58" s="2" t="s">
        <v>43</v>
      </c>
      <c r="M58" s="2">
        <v>1.774429714</v>
      </c>
      <c r="N58" s="2" t="s">
        <v>39</v>
      </c>
      <c r="O58" s="2" t="s">
        <v>29</v>
      </c>
      <c r="P58" s="2">
        <v>24</v>
      </c>
      <c r="Q58" s="2">
        <v>826</v>
      </c>
      <c r="R58" s="2">
        <v>28</v>
      </c>
      <c r="S58" s="2">
        <v>12.83628457</v>
      </c>
      <c r="T58" s="2" t="s">
        <v>64</v>
      </c>
      <c r="U58" s="2">
        <v>1.173755495</v>
      </c>
      <c r="V58" s="2" t="s">
        <v>40</v>
      </c>
      <c r="W58" s="2" t="s">
        <v>32</v>
      </c>
      <c r="X58" s="2">
        <v>832.21080870000003</v>
      </c>
      <c r="Y58" s="2">
        <f>supply_chain_data!$F58-supply_chain_data!$X58</f>
        <v>3934.8096752999995</v>
      </c>
      <c r="Z58" s="2" t="str">
        <f>IF(supply_chain_data!$H58&lt;20,"Low Stock","Available")</f>
        <v>Available</v>
      </c>
      <c r="AA58" s="2" t="str">
        <f>IF(supply_chain_data!$K58&gt;7,"Delayed","On Time")</f>
        <v>On Time</v>
      </c>
    </row>
    <row r="59" spans="1:27" x14ac:dyDescent="0.3">
      <c r="A59" s="3" t="s">
        <v>24</v>
      </c>
      <c r="B59" s="3" t="s">
        <v>111</v>
      </c>
      <c r="C59" s="3">
        <v>49.26320535</v>
      </c>
      <c r="D59" s="3">
        <v>65</v>
      </c>
      <c r="E59" s="3">
        <v>227</v>
      </c>
      <c r="F59" s="3">
        <v>1605.8669</v>
      </c>
      <c r="G59" s="3" t="s">
        <v>38</v>
      </c>
      <c r="H59" s="3">
        <v>5</v>
      </c>
      <c r="I59" s="3">
        <v>18</v>
      </c>
      <c r="J59" s="3">
        <v>51</v>
      </c>
      <c r="K59" s="3">
        <v>1</v>
      </c>
      <c r="L59" s="3" t="s">
        <v>27</v>
      </c>
      <c r="M59" s="3">
        <v>9.1605585349999998</v>
      </c>
      <c r="N59" s="3" t="s">
        <v>61</v>
      </c>
      <c r="O59" s="3" t="s">
        <v>50</v>
      </c>
      <c r="P59" s="3">
        <v>21</v>
      </c>
      <c r="Q59" s="3">
        <v>588</v>
      </c>
      <c r="R59" s="3">
        <v>25</v>
      </c>
      <c r="S59" s="3">
        <v>67.779622989999993</v>
      </c>
      <c r="T59" s="3" t="s">
        <v>30</v>
      </c>
      <c r="U59" s="3">
        <v>2.5111748299999999</v>
      </c>
      <c r="V59" s="3" t="s">
        <v>47</v>
      </c>
      <c r="W59" s="3" t="s">
        <v>48</v>
      </c>
      <c r="X59" s="3">
        <v>482.19123860000002</v>
      </c>
      <c r="Y59" s="3">
        <f>supply_chain_data!$F59-supply_chain_data!$X59</f>
        <v>1123.6756614000001</v>
      </c>
      <c r="Z59" s="3" t="str">
        <f>IF(supply_chain_data!$H59&lt;20,"Low Stock","Available")</f>
        <v>Low Stock</v>
      </c>
      <c r="AA59" s="3" t="str">
        <f>IF(supply_chain_data!$K59&gt;7,"Delayed","On Time")</f>
        <v>On Time</v>
      </c>
    </row>
    <row r="60" spans="1:27" x14ac:dyDescent="0.3">
      <c r="A60" s="2" t="s">
        <v>33</v>
      </c>
      <c r="B60" s="2" t="s">
        <v>112</v>
      </c>
      <c r="C60" s="2">
        <v>59.841561380000002</v>
      </c>
      <c r="D60" s="2">
        <v>81</v>
      </c>
      <c r="E60" s="2">
        <v>896</v>
      </c>
      <c r="F60" s="2">
        <v>2021.1498099999999</v>
      </c>
      <c r="G60" s="2" t="s">
        <v>26</v>
      </c>
      <c r="H60" s="2">
        <v>10</v>
      </c>
      <c r="I60" s="2">
        <v>5</v>
      </c>
      <c r="J60" s="2">
        <v>44</v>
      </c>
      <c r="K60" s="2">
        <v>7</v>
      </c>
      <c r="L60" s="2" t="s">
        <v>36</v>
      </c>
      <c r="M60" s="2">
        <v>4.9384385650000002</v>
      </c>
      <c r="N60" s="2" t="s">
        <v>28</v>
      </c>
      <c r="O60" s="2" t="s">
        <v>50</v>
      </c>
      <c r="P60" s="2">
        <v>18</v>
      </c>
      <c r="Q60" s="2">
        <v>396</v>
      </c>
      <c r="R60" s="2">
        <v>7</v>
      </c>
      <c r="S60" s="2">
        <v>65.047415090000001</v>
      </c>
      <c r="T60" s="2" t="s">
        <v>46</v>
      </c>
      <c r="U60" s="2">
        <v>1.7303747199999999</v>
      </c>
      <c r="V60" s="2" t="s">
        <v>31</v>
      </c>
      <c r="W60" s="2" t="s">
        <v>32</v>
      </c>
      <c r="X60" s="2">
        <v>110.3643352</v>
      </c>
      <c r="Y60" s="2">
        <f>supply_chain_data!$F60-supply_chain_data!$X60</f>
        <v>1910.7854748</v>
      </c>
      <c r="Z60" s="2" t="str">
        <f>IF(supply_chain_data!$H60&lt;20,"Low Stock","Available")</f>
        <v>Low Stock</v>
      </c>
      <c r="AA60" s="2" t="str">
        <f>IF(supply_chain_data!$K60&gt;7,"Delayed","On Time")</f>
        <v>On Time</v>
      </c>
    </row>
    <row r="61" spans="1:27" x14ac:dyDescent="0.3">
      <c r="A61" s="3" t="s">
        <v>57</v>
      </c>
      <c r="B61" s="3" t="s">
        <v>113</v>
      </c>
      <c r="C61" s="3">
        <v>63.828398350000001</v>
      </c>
      <c r="D61" s="3">
        <v>30</v>
      </c>
      <c r="E61" s="3">
        <v>484</v>
      </c>
      <c r="F61" s="3">
        <v>1061.6185230000001</v>
      </c>
      <c r="G61" s="3" t="s">
        <v>26</v>
      </c>
      <c r="H61" s="3">
        <v>100</v>
      </c>
      <c r="I61" s="3">
        <v>16</v>
      </c>
      <c r="J61" s="3">
        <v>26</v>
      </c>
      <c r="K61" s="3">
        <v>7</v>
      </c>
      <c r="L61" s="3" t="s">
        <v>27</v>
      </c>
      <c r="M61" s="3">
        <v>7.2937225970000004</v>
      </c>
      <c r="N61" s="3" t="s">
        <v>39</v>
      </c>
      <c r="O61" s="3" t="s">
        <v>45</v>
      </c>
      <c r="P61" s="3">
        <v>11</v>
      </c>
      <c r="Q61" s="3">
        <v>176</v>
      </c>
      <c r="R61" s="3">
        <v>4</v>
      </c>
      <c r="S61" s="3">
        <v>1.900762244</v>
      </c>
      <c r="T61" s="3" t="s">
        <v>46</v>
      </c>
      <c r="U61" s="3">
        <v>0.447194015</v>
      </c>
      <c r="V61" s="3" t="s">
        <v>40</v>
      </c>
      <c r="W61" s="3" t="s">
        <v>48</v>
      </c>
      <c r="X61" s="3">
        <v>312.57427360000003</v>
      </c>
      <c r="Y61" s="3">
        <f>supply_chain_data!$F61-supply_chain_data!$X61</f>
        <v>749.04424940000013</v>
      </c>
      <c r="Z61" s="3" t="str">
        <f>IF(supply_chain_data!$H61&lt;20,"Low Stock","Available")</f>
        <v>Available</v>
      </c>
      <c r="AA61" s="3" t="str">
        <f>IF(supply_chain_data!$K61&gt;7,"Delayed","On Time")</f>
        <v>On Time</v>
      </c>
    </row>
    <row r="62" spans="1:27" x14ac:dyDescent="0.3">
      <c r="A62" s="2" t="s">
        <v>33</v>
      </c>
      <c r="B62" s="2" t="s">
        <v>114</v>
      </c>
      <c r="C62" s="2">
        <v>17.02802792</v>
      </c>
      <c r="D62" s="2">
        <v>16</v>
      </c>
      <c r="E62" s="2">
        <v>380</v>
      </c>
      <c r="F62" s="2">
        <v>8864.0843499999992</v>
      </c>
      <c r="G62" s="2" t="s">
        <v>35</v>
      </c>
      <c r="H62" s="2">
        <v>41</v>
      </c>
      <c r="I62" s="2">
        <v>27</v>
      </c>
      <c r="J62" s="2">
        <v>72</v>
      </c>
      <c r="K62" s="2">
        <v>8</v>
      </c>
      <c r="L62" s="2" t="s">
        <v>43</v>
      </c>
      <c r="M62" s="2">
        <v>4.3813681579999999</v>
      </c>
      <c r="N62" s="2" t="s">
        <v>52</v>
      </c>
      <c r="O62" s="2" t="s">
        <v>29</v>
      </c>
      <c r="P62" s="2">
        <v>29</v>
      </c>
      <c r="Q62" s="2">
        <v>929</v>
      </c>
      <c r="R62" s="2">
        <v>24</v>
      </c>
      <c r="S62" s="2">
        <v>87.213057820000003</v>
      </c>
      <c r="T62" s="2" t="s">
        <v>46</v>
      </c>
      <c r="U62" s="2">
        <v>2.8530906169999999</v>
      </c>
      <c r="V62" s="2" t="s">
        <v>47</v>
      </c>
      <c r="W62" s="2" t="s">
        <v>48</v>
      </c>
      <c r="X62" s="2">
        <v>430.16909700000002</v>
      </c>
      <c r="Y62" s="2">
        <f>supply_chain_data!$F62-supply_chain_data!$X62</f>
        <v>8433.9152529999992</v>
      </c>
      <c r="Z62" s="2" t="str">
        <f>IF(supply_chain_data!$H62&lt;20,"Low Stock","Available")</f>
        <v>Available</v>
      </c>
      <c r="AA62" s="2" t="str">
        <f>IF(supply_chain_data!$K62&gt;7,"Delayed","On Time")</f>
        <v>Delayed</v>
      </c>
    </row>
    <row r="63" spans="1:27" x14ac:dyDescent="0.3">
      <c r="A63" s="3" t="s">
        <v>24</v>
      </c>
      <c r="B63" s="3" t="s">
        <v>115</v>
      </c>
      <c r="C63" s="3">
        <v>52.028749900000001</v>
      </c>
      <c r="D63" s="3">
        <v>23</v>
      </c>
      <c r="E63" s="3">
        <v>117</v>
      </c>
      <c r="F63" s="3">
        <v>6885.5893509999996</v>
      </c>
      <c r="G63" s="3" t="s">
        <v>38</v>
      </c>
      <c r="H63" s="3">
        <v>32</v>
      </c>
      <c r="I63" s="3">
        <v>23</v>
      </c>
      <c r="J63" s="3">
        <v>36</v>
      </c>
      <c r="K63" s="3">
        <v>7</v>
      </c>
      <c r="L63" s="3" t="s">
        <v>43</v>
      </c>
      <c r="M63" s="3">
        <v>9.0303404230000002</v>
      </c>
      <c r="N63" s="3" t="s">
        <v>52</v>
      </c>
      <c r="O63" s="3" t="s">
        <v>45</v>
      </c>
      <c r="P63" s="3">
        <v>14</v>
      </c>
      <c r="Q63" s="3">
        <v>480</v>
      </c>
      <c r="R63" s="3">
        <v>12</v>
      </c>
      <c r="S63" s="3">
        <v>78.702393970000003</v>
      </c>
      <c r="T63" s="3" t="s">
        <v>46</v>
      </c>
      <c r="U63" s="3">
        <v>4.3674705380000001</v>
      </c>
      <c r="V63" s="3" t="s">
        <v>40</v>
      </c>
      <c r="W63" s="3" t="s">
        <v>48</v>
      </c>
      <c r="X63" s="3">
        <v>164.3665282</v>
      </c>
      <c r="Y63" s="3">
        <f>supply_chain_data!$F63-supply_chain_data!$X63</f>
        <v>6721.2228227999994</v>
      </c>
      <c r="Z63" s="3" t="str">
        <f>IF(supply_chain_data!$H63&lt;20,"Low Stock","Available")</f>
        <v>Available</v>
      </c>
      <c r="AA63" s="3" t="str">
        <f>IF(supply_chain_data!$K63&gt;7,"Delayed","On Time")</f>
        <v>On Time</v>
      </c>
    </row>
    <row r="64" spans="1:27" x14ac:dyDescent="0.3">
      <c r="A64" s="2" t="s">
        <v>57</v>
      </c>
      <c r="B64" s="2" t="s">
        <v>116</v>
      </c>
      <c r="C64" s="2">
        <v>72.796353960000005</v>
      </c>
      <c r="D64" s="2">
        <v>89</v>
      </c>
      <c r="E64" s="2">
        <v>270</v>
      </c>
      <c r="F64" s="2">
        <v>3899.746834</v>
      </c>
      <c r="G64" s="2" t="s">
        <v>38</v>
      </c>
      <c r="H64" s="2">
        <v>86</v>
      </c>
      <c r="I64" s="2">
        <v>2</v>
      </c>
      <c r="J64" s="2">
        <v>40</v>
      </c>
      <c r="K64" s="2">
        <v>7</v>
      </c>
      <c r="L64" s="2" t="s">
        <v>43</v>
      </c>
      <c r="M64" s="2">
        <v>7.291701389</v>
      </c>
      <c r="N64" s="2" t="s">
        <v>61</v>
      </c>
      <c r="O64" s="2" t="s">
        <v>29</v>
      </c>
      <c r="P64" s="2">
        <v>13</v>
      </c>
      <c r="Q64" s="2">
        <v>751</v>
      </c>
      <c r="R64" s="2">
        <v>14</v>
      </c>
      <c r="S64" s="2">
        <v>21.048642730000001</v>
      </c>
      <c r="T64" s="2" t="s">
        <v>64</v>
      </c>
      <c r="U64" s="2">
        <v>1.8740014039999999</v>
      </c>
      <c r="V64" s="2" t="s">
        <v>56</v>
      </c>
      <c r="W64" s="2" t="s">
        <v>41</v>
      </c>
      <c r="X64" s="2">
        <v>320.84651580000002</v>
      </c>
      <c r="Y64" s="2">
        <f>supply_chain_data!$F64-supply_chain_data!$X64</f>
        <v>3578.9003182000001</v>
      </c>
      <c r="Z64" s="2" t="str">
        <f>IF(supply_chain_data!$H64&lt;20,"Low Stock","Available")</f>
        <v>Available</v>
      </c>
      <c r="AA64" s="2" t="str">
        <f>IF(supply_chain_data!$K64&gt;7,"Delayed","On Time")</f>
        <v>On Time</v>
      </c>
    </row>
    <row r="65" spans="1:27" x14ac:dyDescent="0.3">
      <c r="A65" s="3" t="s">
        <v>33</v>
      </c>
      <c r="B65" s="3" t="s">
        <v>117</v>
      </c>
      <c r="C65" s="3">
        <v>13.01737679</v>
      </c>
      <c r="D65" s="3">
        <v>55</v>
      </c>
      <c r="E65" s="3">
        <v>246</v>
      </c>
      <c r="F65" s="3">
        <v>4256.9491410000001</v>
      </c>
      <c r="G65" s="3" t="s">
        <v>26</v>
      </c>
      <c r="H65" s="3">
        <v>54</v>
      </c>
      <c r="I65" s="3">
        <v>19</v>
      </c>
      <c r="J65" s="3">
        <v>10</v>
      </c>
      <c r="K65" s="3">
        <v>4</v>
      </c>
      <c r="L65" s="3" t="s">
        <v>36</v>
      </c>
      <c r="M65" s="3">
        <v>2.4579335279999999</v>
      </c>
      <c r="N65" s="3" t="s">
        <v>28</v>
      </c>
      <c r="O65" s="3" t="s">
        <v>53</v>
      </c>
      <c r="P65" s="3">
        <v>18</v>
      </c>
      <c r="Q65" s="3">
        <v>736</v>
      </c>
      <c r="R65" s="3">
        <v>10</v>
      </c>
      <c r="S65" s="3">
        <v>20.075003980000002</v>
      </c>
      <c r="T65" s="3" t="s">
        <v>30</v>
      </c>
      <c r="U65" s="3">
        <v>3.6328432899999998</v>
      </c>
      <c r="V65" s="3" t="s">
        <v>56</v>
      </c>
      <c r="W65" s="3" t="s">
        <v>48</v>
      </c>
      <c r="X65" s="3">
        <v>687.28617789999998</v>
      </c>
      <c r="Y65" s="3">
        <f>supply_chain_data!$F65-supply_chain_data!$X65</f>
        <v>3569.6629631000001</v>
      </c>
      <c r="Z65" s="3" t="str">
        <f>IF(supply_chain_data!$H65&lt;20,"Low Stock","Available")</f>
        <v>Available</v>
      </c>
      <c r="AA65" s="3" t="str">
        <f>IF(supply_chain_data!$K65&gt;7,"Delayed","On Time")</f>
        <v>On Time</v>
      </c>
    </row>
    <row r="66" spans="1:27" x14ac:dyDescent="0.3">
      <c r="A66" s="2" t="s">
        <v>33</v>
      </c>
      <c r="B66" s="2" t="s">
        <v>118</v>
      </c>
      <c r="C66" s="2">
        <v>89.634095610000003</v>
      </c>
      <c r="D66" s="2">
        <v>11</v>
      </c>
      <c r="E66" s="2">
        <v>134</v>
      </c>
      <c r="F66" s="2">
        <v>8458.7308780000003</v>
      </c>
      <c r="G66" s="2" t="s">
        <v>35</v>
      </c>
      <c r="H66" s="2">
        <v>73</v>
      </c>
      <c r="I66" s="2">
        <v>27</v>
      </c>
      <c r="J66" s="2">
        <v>75</v>
      </c>
      <c r="K66" s="2">
        <v>6</v>
      </c>
      <c r="L66" s="2" t="s">
        <v>43</v>
      </c>
      <c r="M66" s="2">
        <v>4.5853534680000001</v>
      </c>
      <c r="N66" s="2" t="s">
        <v>39</v>
      </c>
      <c r="O66" s="2" t="s">
        <v>50</v>
      </c>
      <c r="P66" s="2">
        <v>17</v>
      </c>
      <c r="Q66" s="2">
        <v>328</v>
      </c>
      <c r="R66" s="2">
        <v>6</v>
      </c>
      <c r="S66" s="2">
        <v>8.6930424259999999</v>
      </c>
      <c r="T66" s="2" t="s">
        <v>46</v>
      </c>
      <c r="U66" s="2">
        <v>0.15948631499999999</v>
      </c>
      <c r="V66" s="2" t="s">
        <v>40</v>
      </c>
      <c r="W66" s="2" t="s">
        <v>41</v>
      </c>
      <c r="X66" s="2">
        <v>771.22508470000002</v>
      </c>
      <c r="Y66" s="2">
        <f>supply_chain_data!$F66-supply_chain_data!$X66</f>
        <v>7687.5057933000007</v>
      </c>
      <c r="Z66" s="2" t="str">
        <f>IF(supply_chain_data!$H66&lt;20,"Low Stock","Available")</f>
        <v>Available</v>
      </c>
      <c r="AA66" s="2" t="str">
        <f>IF(supply_chain_data!$K66&gt;7,"Delayed","On Time")</f>
        <v>On Time</v>
      </c>
    </row>
    <row r="67" spans="1:27" x14ac:dyDescent="0.3">
      <c r="A67" s="3" t="s">
        <v>33</v>
      </c>
      <c r="B67" s="3" t="s">
        <v>119</v>
      </c>
      <c r="C67" s="3">
        <v>33.69771721</v>
      </c>
      <c r="D67" s="3">
        <v>72</v>
      </c>
      <c r="E67" s="3">
        <v>457</v>
      </c>
      <c r="F67" s="3">
        <v>8354.5796859999991</v>
      </c>
      <c r="G67" s="3" t="s">
        <v>55</v>
      </c>
      <c r="H67" s="3">
        <v>57</v>
      </c>
      <c r="I67" s="3">
        <v>24</v>
      </c>
      <c r="J67" s="3">
        <v>54</v>
      </c>
      <c r="K67" s="3">
        <v>8</v>
      </c>
      <c r="L67" s="3" t="s">
        <v>43</v>
      </c>
      <c r="M67" s="3">
        <v>6.5805413479999997</v>
      </c>
      <c r="N67" s="3" t="s">
        <v>44</v>
      </c>
      <c r="O67" s="3" t="s">
        <v>45</v>
      </c>
      <c r="P67" s="3">
        <v>16</v>
      </c>
      <c r="Q67" s="3">
        <v>358</v>
      </c>
      <c r="R67" s="3">
        <v>21</v>
      </c>
      <c r="S67" s="3">
        <v>1.5972227429999999</v>
      </c>
      <c r="T67" s="3" t="s">
        <v>46</v>
      </c>
      <c r="U67" s="3">
        <v>4.9110959550000004</v>
      </c>
      <c r="V67" s="3" t="s">
        <v>47</v>
      </c>
      <c r="W67" s="3" t="s">
        <v>41</v>
      </c>
      <c r="X67" s="3">
        <v>555.85910369999999</v>
      </c>
      <c r="Y67" s="3">
        <f>supply_chain_data!$F67-supply_chain_data!$X67</f>
        <v>7798.7205822999995</v>
      </c>
      <c r="Z67" s="3" t="str">
        <f>IF(supply_chain_data!$H67&lt;20,"Low Stock","Available")</f>
        <v>Available</v>
      </c>
      <c r="AA67" s="3" t="str">
        <f>IF(supply_chain_data!$K67&gt;7,"Delayed","On Time")</f>
        <v>Delayed</v>
      </c>
    </row>
    <row r="68" spans="1:27" x14ac:dyDescent="0.3">
      <c r="A68" s="2" t="s">
        <v>33</v>
      </c>
      <c r="B68" s="2" t="s">
        <v>120</v>
      </c>
      <c r="C68" s="2">
        <v>26.03486977</v>
      </c>
      <c r="D68" s="2">
        <v>52</v>
      </c>
      <c r="E68" s="2">
        <v>704</v>
      </c>
      <c r="F68" s="2">
        <v>8367.7216179999996</v>
      </c>
      <c r="G68" s="2" t="s">
        <v>35</v>
      </c>
      <c r="H68" s="2">
        <v>13</v>
      </c>
      <c r="I68" s="2">
        <v>17</v>
      </c>
      <c r="J68" s="2">
        <v>19</v>
      </c>
      <c r="K68" s="2">
        <v>8</v>
      </c>
      <c r="L68" s="2" t="s">
        <v>36</v>
      </c>
      <c r="M68" s="2">
        <v>2.216142729</v>
      </c>
      <c r="N68" s="2" t="s">
        <v>44</v>
      </c>
      <c r="O68" s="2" t="s">
        <v>45</v>
      </c>
      <c r="P68" s="2">
        <v>24</v>
      </c>
      <c r="Q68" s="2">
        <v>867</v>
      </c>
      <c r="R68" s="2">
        <v>28</v>
      </c>
      <c r="S68" s="2">
        <v>42.084436740000001</v>
      </c>
      <c r="T68" s="2" t="s">
        <v>46</v>
      </c>
      <c r="U68" s="2">
        <v>3.4480632880000002</v>
      </c>
      <c r="V68" s="2" t="s">
        <v>31</v>
      </c>
      <c r="W68" s="2" t="s">
        <v>48</v>
      </c>
      <c r="X68" s="2">
        <v>393.84334860000001</v>
      </c>
      <c r="Y68" s="2">
        <f>supply_chain_data!$F68-supply_chain_data!$X68</f>
        <v>7973.8782693999992</v>
      </c>
      <c r="Z68" s="2" t="str">
        <f>IF(supply_chain_data!$H68&lt;20,"Low Stock","Available")</f>
        <v>Low Stock</v>
      </c>
      <c r="AA68" s="2" t="str">
        <f>IF(supply_chain_data!$K68&gt;7,"Delayed","On Time")</f>
        <v>Delayed</v>
      </c>
    </row>
    <row r="69" spans="1:27" x14ac:dyDescent="0.3">
      <c r="A69" s="3" t="s">
        <v>33</v>
      </c>
      <c r="B69" s="3" t="s">
        <v>121</v>
      </c>
      <c r="C69" s="3">
        <v>87.755432350000007</v>
      </c>
      <c r="D69" s="3">
        <v>16</v>
      </c>
      <c r="E69" s="3">
        <v>513</v>
      </c>
      <c r="F69" s="3">
        <v>9473.7980329999991</v>
      </c>
      <c r="G69" s="3" t="s">
        <v>38</v>
      </c>
      <c r="H69" s="3">
        <v>12</v>
      </c>
      <c r="I69" s="3">
        <v>9</v>
      </c>
      <c r="J69" s="3">
        <v>71</v>
      </c>
      <c r="K69" s="3">
        <v>9</v>
      </c>
      <c r="L69" s="3" t="s">
        <v>43</v>
      </c>
      <c r="M69" s="3">
        <v>9.1478115449999997</v>
      </c>
      <c r="N69" s="3" t="s">
        <v>39</v>
      </c>
      <c r="O69" s="3" t="s">
        <v>29</v>
      </c>
      <c r="P69" s="3">
        <v>10</v>
      </c>
      <c r="Q69" s="3">
        <v>198</v>
      </c>
      <c r="R69" s="3">
        <v>11</v>
      </c>
      <c r="S69" s="3">
        <v>7.057876147</v>
      </c>
      <c r="T69" s="3" t="s">
        <v>64</v>
      </c>
      <c r="U69" s="3">
        <v>0.13195544400000001</v>
      </c>
      <c r="V69" s="3" t="s">
        <v>56</v>
      </c>
      <c r="W69" s="3" t="s">
        <v>41</v>
      </c>
      <c r="X69" s="3">
        <v>169.27180139999999</v>
      </c>
      <c r="Y69" s="3">
        <f>supply_chain_data!$F69-supply_chain_data!$X69</f>
        <v>9304.5262315999989</v>
      </c>
      <c r="Z69" s="3" t="str">
        <f>IF(supply_chain_data!$H69&lt;20,"Low Stock","Available")</f>
        <v>Low Stock</v>
      </c>
      <c r="AA69" s="3" t="str">
        <f>IF(supply_chain_data!$K69&gt;7,"Delayed","On Time")</f>
        <v>Delayed</v>
      </c>
    </row>
    <row r="70" spans="1:27" x14ac:dyDescent="0.3">
      <c r="A70" s="2" t="s">
        <v>24</v>
      </c>
      <c r="B70" s="2" t="s">
        <v>122</v>
      </c>
      <c r="C70" s="2">
        <v>37.931812379999997</v>
      </c>
      <c r="D70" s="2">
        <v>29</v>
      </c>
      <c r="E70" s="2">
        <v>163</v>
      </c>
      <c r="F70" s="2">
        <v>3550.218433</v>
      </c>
      <c r="G70" s="2" t="s">
        <v>26</v>
      </c>
      <c r="H70" s="2">
        <v>0</v>
      </c>
      <c r="I70" s="2">
        <v>8</v>
      </c>
      <c r="J70" s="2">
        <v>58</v>
      </c>
      <c r="K70" s="2">
        <v>8</v>
      </c>
      <c r="L70" s="2" t="s">
        <v>27</v>
      </c>
      <c r="M70" s="2">
        <v>1.194251865</v>
      </c>
      <c r="N70" s="2" t="s">
        <v>61</v>
      </c>
      <c r="O70" s="2" t="s">
        <v>53</v>
      </c>
      <c r="P70" s="2">
        <v>2</v>
      </c>
      <c r="Q70" s="2">
        <v>375</v>
      </c>
      <c r="R70" s="2">
        <v>18</v>
      </c>
      <c r="S70" s="2">
        <v>97.11358156</v>
      </c>
      <c r="T70" s="2" t="s">
        <v>46</v>
      </c>
      <c r="U70" s="2">
        <v>1.9834678720000001</v>
      </c>
      <c r="V70" s="2" t="s">
        <v>47</v>
      </c>
      <c r="W70" s="2" t="s">
        <v>48</v>
      </c>
      <c r="X70" s="2">
        <v>299.70630310000001</v>
      </c>
      <c r="Y70" s="2">
        <f>supply_chain_data!$F70-supply_chain_data!$X70</f>
        <v>3250.5121299000002</v>
      </c>
      <c r="Z70" s="2" t="str">
        <f>IF(supply_chain_data!$H70&lt;20,"Low Stock","Available")</f>
        <v>Low Stock</v>
      </c>
      <c r="AA70" s="2" t="str">
        <f>IF(supply_chain_data!$K70&gt;7,"Delayed","On Time")</f>
        <v>Delayed</v>
      </c>
    </row>
    <row r="71" spans="1:27" x14ac:dyDescent="0.3">
      <c r="A71" s="3" t="s">
        <v>33</v>
      </c>
      <c r="B71" s="3" t="s">
        <v>123</v>
      </c>
      <c r="C71" s="3">
        <v>54.865528519999998</v>
      </c>
      <c r="D71" s="3">
        <v>62</v>
      </c>
      <c r="E71" s="3">
        <v>511</v>
      </c>
      <c r="F71" s="3">
        <v>1752.381087</v>
      </c>
      <c r="G71" s="3" t="s">
        <v>26</v>
      </c>
      <c r="H71" s="3">
        <v>95</v>
      </c>
      <c r="I71" s="3">
        <v>1</v>
      </c>
      <c r="J71" s="3">
        <v>27</v>
      </c>
      <c r="K71" s="3">
        <v>3</v>
      </c>
      <c r="L71" s="3" t="s">
        <v>27</v>
      </c>
      <c r="M71" s="3">
        <v>9.7052867900000006</v>
      </c>
      <c r="N71" s="3" t="s">
        <v>52</v>
      </c>
      <c r="O71" s="3" t="s">
        <v>45</v>
      </c>
      <c r="P71" s="3">
        <v>9</v>
      </c>
      <c r="Q71" s="3">
        <v>862</v>
      </c>
      <c r="R71" s="3">
        <v>7</v>
      </c>
      <c r="S71" s="3">
        <v>77.62776581</v>
      </c>
      <c r="T71" s="3" t="s">
        <v>30</v>
      </c>
      <c r="U71" s="3">
        <v>1.3623879889999999</v>
      </c>
      <c r="V71" s="3" t="s">
        <v>40</v>
      </c>
      <c r="W71" s="3" t="s">
        <v>48</v>
      </c>
      <c r="X71" s="3">
        <v>207.66320619999999</v>
      </c>
      <c r="Y71" s="3">
        <f>supply_chain_data!$F71-supply_chain_data!$X71</f>
        <v>1544.7178807999999</v>
      </c>
      <c r="Z71" s="3" t="str">
        <f>IF(supply_chain_data!$H71&lt;20,"Low Stock","Available")</f>
        <v>Available</v>
      </c>
      <c r="AA71" s="3" t="str">
        <f>IF(supply_chain_data!$K71&gt;7,"Delayed","On Time")</f>
        <v>On Time</v>
      </c>
    </row>
    <row r="72" spans="1:27" x14ac:dyDescent="0.3">
      <c r="A72" s="2" t="s">
        <v>24</v>
      </c>
      <c r="B72" s="2" t="s">
        <v>124</v>
      </c>
      <c r="C72" s="2">
        <v>47.914541819999997</v>
      </c>
      <c r="D72" s="2">
        <v>90</v>
      </c>
      <c r="E72" s="2">
        <v>32</v>
      </c>
      <c r="F72" s="2">
        <v>7014.8879870000001</v>
      </c>
      <c r="G72" s="2" t="s">
        <v>35</v>
      </c>
      <c r="H72" s="2">
        <v>10</v>
      </c>
      <c r="I72" s="2">
        <v>12</v>
      </c>
      <c r="J72" s="2">
        <v>22</v>
      </c>
      <c r="K72" s="2">
        <v>4</v>
      </c>
      <c r="L72" s="2" t="s">
        <v>27</v>
      </c>
      <c r="M72" s="2">
        <v>6.3157177549999997</v>
      </c>
      <c r="N72" s="2" t="s">
        <v>39</v>
      </c>
      <c r="O72" s="2" t="s">
        <v>53</v>
      </c>
      <c r="P72" s="2">
        <v>22</v>
      </c>
      <c r="Q72" s="2">
        <v>775</v>
      </c>
      <c r="R72" s="2">
        <v>16</v>
      </c>
      <c r="S72" s="2">
        <v>11.44078182</v>
      </c>
      <c r="T72" s="2" t="s">
        <v>64</v>
      </c>
      <c r="U72" s="2">
        <v>1.8305755990000001</v>
      </c>
      <c r="V72" s="2" t="s">
        <v>31</v>
      </c>
      <c r="W72" s="2" t="s">
        <v>41</v>
      </c>
      <c r="X72" s="2">
        <v>183.27289870000001</v>
      </c>
      <c r="Y72" s="2">
        <f>supply_chain_data!$F72-supply_chain_data!$X72</f>
        <v>6831.6150883</v>
      </c>
      <c r="Z72" s="2" t="str">
        <f>IF(supply_chain_data!$H72&lt;20,"Low Stock","Available")</f>
        <v>Low Stock</v>
      </c>
      <c r="AA72" s="2" t="str">
        <f>IF(supply_chain_data!$K72&gt;7,"Delayed","On Time")</f>
        <v>On Time</v>
      </c>
    </row>
    <row r="73" spans="1:27" x14ac:dyDescent="0.3">
      <c r="A73" s="3" t="s">
        <v>57</v>
      </c>
      <c r="B73" s="3" t="s">
        <v>125</v>
      </c>
      <c r="C73" s="3">
        <v>6.3815331630000003</v>
      </c>
      <c r="D73" s="3">
        <v>14</v>
      </c>
      <c r="E73" s="3">
        <v>637</v>
      </c>
      <c r="F73" s="3">
        <v>8180.3370850000001</v>
      </c>
      <c r="G73" s="3" t="s">
        <v>35</v>
      </c>
      <c r="H73" s="3">
        <v>76</v>
      </c>
      <c r="I73" s="3">
        <v>2</v>
      </c>
      <c r="J73" s="3">
        <v>26</v>
      </c>
      <c r="K73" s="3">
        <v>6</v>
      </c>
      <c r="L73" s="3" t="s">
        <v>36</v>
      </c>
      <c r="M73" s="3">
        <v>9.2281903169999993</v>
      </c>
      <c r="N73" s="3" t="s">
        <v>61</v>
      </c>
      <c r="O73" s="3" t="s">
        <v>53</v>
      </c>
      <c r="P73" s="3">
        <v>2</v>
      </c>
      <c r="Q73" s="3">
        <v>258</v>
      </c>
      <c r="R73" s="3">
        <v>10</v>
      </c>
      <c r="S73" s="3">
        <v>30.661677480000002</v>
      </c>
      <c r="T73" s="3" t="s">
        <v>30</v>
      </c>
      <c r="U73" s="3">
        <v>2.078750608</v>
      </c>
      <c r="V73" s="3" t="s">
        <v>31</v>
      </c>
      <c r="W73" s="3" t="s">
        <v>48</v>
      </c>
      <c r="X73" s="3">
        <v>405.16706790000001</v>
      </c>
      <c r="Y73" s="3">
        <f>supply_chain_data!$F73-supply_chain_data!$X73</f>
        <v>7775.1700171000002</v>
      </c>
      <c r="Z73" s="3" t="str">
        <f>IF(supply_chain_data!$H73&lt;20,"Low Stock","Available")</f>
        <v>Available</v>
      </c>
      <c r="AA73" s="3" t="str">
        <f>IF(supply_chain_data!$K73&gt;7,"Delayed","On Time")</f>
        <v>On Time</v>
      </c>
    </row>
    <row r="74" spans="1:27" x14ac:dyDescent="0.3">
      <c r="A74" s="2" t="s">
        <v>57</v>
      </c>
      <c r="B74" s="2" t="s">
        <v>126</v>
      </c>
      <c r="C74" s="2">
        <v>90.204427519999996</v>
      </c>
      <c r="D74" s="2">
        <v>88</v>
      </c>
      <c r="E74" s="2">
        <v>478</v>
      </c>
      <c r="F74" s="2">
        <v>2633.1219809999998</v>
      </c>
      <c r="G74" s="2" t="s">
        <v>26</v>
      </c>
      <c r="H74" s="2">
        <v>57</v>
      </c>
      <c r="I74" s="2">
        <v>29</v>
      </c>
      <c r="J74" s="2">
        <v>77</v>
      </c>
      <c r="K74" s="2">
        <v>9</v>
      </c>
      <c r="L74" s="2" t="s">
        <v>36</v>
      </c>
      <c r="M74" s="2">
        <v>6.5996141599999998</v>
      </c>
      <c r="N74" s="2" t="s">
        <v>39</v>
      </c>
      <c r="O74" s="2" t="s">
        <v>53</v>
      </c>
      <c r="P74" s="2">
        <v>21</v>
      </c>
      <c r="Q74" s="2">
        <v>152</v>
      </c>
      <c r="R74" s="2">
        <v>11</v>
      </c>
      <c r="S74" s="2">
        <v>55.760492900000003</v>
      </c>
      <c r="T74" s="2" t="s">
        <v>30</v>
      </c>
      <c r="U74" s="2">
        <v>3.2133296069999999</v>
      </c>
      <c r="V74" s="2" t="s">
        <v>47</v>
      </c>
      <c r="W74" s="2" t="s">
        <v>32</v>
      </c>
      <c r="X74" s="2">
        <v>677.94456979999995</v>
      </c>
      <c r="Y74" s="2">
        <f>supply_chain_data!$F74-supply_chain_data!$X74</f>
        <v>1955.1774111999998</v>
      </c>
      <c r="Z74" s="2" t="str">
        <f>IF(supply_chain_data!$H74&lt;20,"Low Stock","Available")</f>
        <v>Available</v>
      </c>
      <c r="AA74" s="2" t="str">
        <f>IF(supply_chain_data!$K74&gt;7,"Delayed","On Time")</f>
        <v>Delayed</v>
      </c>
    </row>
    <row r="75" spans="1:27" x14ac:dyDescent="0.3">
      <c r="A75" s="3" t="s">
        <v>57</v>
      </c>
      <c r="B75" s="3" t="s">
        <v>127</v>
      </c>
      <c r="C75" s="3">
        <v>83.851017679999998</v>
      </c>
      <c r="D75" s="3">
        <v>41</v>
      </c>
      <c r="E75" s="3">
        <v>375</v>
      </c>
      <c r="F75" s="3">
        <v>7910.8869160000004</v>
      </c>
      <c r="G75" s="3" t="s">
        <v>55</v>
      </c>
      <c r="H75" s="3">
        <v>17</v>
      </c>
      <c r="I75" s="3">
        <v>25</v>
      </c>
      <c r="J75" s="3">
        <v>66</v>
      </c>
      <c r="K75" s="3">
        <v>5</v>
      </c>
      <c r="L75" s="3" t="s">
        <v>27</v>
      </c>
      <c r="M75" s="3">
        <v>1.512936837</v>
      </c>
      <c r="N75" s="3" t="s">
        <v>52</v>
      </c>
      <c r="O75" s="3" t="s">
        <v>62</v>
      </c>
      <c r="P75" s="3">
        <v>13</v>
      </c>
      <c r="Q75" s="3">
        <v>444</v>
      </c>
      <c r="R75" s="3">
        <v>4</v>
      </c>
      <c r="S75" s="3">
        <v>46.870238800000003</v>
      </c>
      <c r="T75" s="3" t="s">
        <v>46</v>
      </c>
      <c r="U75" s="3">
        <v>4.6205460650000001</v>
      </c>
      <c r="V75" s="3" t="s">
        <v>31</v>
      </c>
      <c r="W75" s="3" t="s">
        <v>48</v>
      </c>
      <c r="X75" s="3">
        <v>866.47280009999997</v>
      </c>
      <c r="Y75" s="3">
        <f>supply_chain_data!$F75-supply_chain_data!$X75</f>
        <v>7044.4141159000001</v>
      </c>
      <c r="Z75" s="3" t="str">
        <f>IF(supply_chain_data!$H75&lt;20,"Low Stock","Available")</f>
        <v>Low Stock</v>
      </c>
      <c r="AA75" s="3" t="str">
        <f>IF(supply_chain_data!$K75&gt;7,"Delayed","On Time")</f>
        <v>On Time</v>
      </c>
    </row>
    <row r="76" spans="1:27" x14ac:dyDescent="0.3">
      <c r="A76" s="2" t="s">
        <v>24</v>
      </c>
      <c r="B76" s="2" t="s">
        <v>128</v>
      </c>
      <c r="C76" s="2">
        <v>3.1700114140000002</v>
      </c>
      <c r="D76" s="2">
        <v>64</v>
      </c>
      <c r="E76" s="2">
        <v>904</v>
      </c>
      <c r="F76" s="2">
        <v>5709.9452959999999</v>
      </c>
      <c r="G76" s="2" t="s">
        <v>35</v>
      </c>
      <c r="H76" s="2">
        <v>41</v>
      </c>
      <c r="I76" s="2">
        <v>6</v>
      </c>
      <c r="J76" s="2">
        <v>1</v>
      </c>
      <c r="K76" s="2">
        <v>5</v>
      </c>
      <c r="L76" s="2" t="s">
        <v>36</v>
      </c>
      <c r="M76" s="2">
        <v>5.2376546499999996</v>
      </c>
      <c r="N76" s="2" t="s">
        <v>52</v>
      </c>
      <c r="O76" s="2" t="s">
        <v>50</v>
      </c>
      <c r="P76" s="2">
        <v>1</v>
      </c>
      <c r="Q76" s="2">
        <v>919</v>
      </c>
      <c r="R76" s="2">
        <v>9</v>
      </c>
      <c r="S76" s="2">
        <v>80.580852160000006</v>
      </c>
      <c r="T76" s="2" t="s">
        <v>46</v>
      </c>
      <c r="U76" s="2">
        <v>0.39661272400000003</v>
      </c>
      <c r="V76" s="2" t="s">
        <v>47</v>
      </c>
      <c r="W76" s="2" t="s">
        <v>48</v>
      </c>
      <c r="X76" s="2">
        <v>341.55265680000002</v>
      </c>
      <c r="Y76" s="2">
        <f>supply_chain_data!$F76-supply_chain_data!$X76</f>
        <v>5368.3926391999994</v>
      </c>
      <c r="Z76" s="2" t="str">
        <f>IF(supply_chain_data!$H76&lt;20,"Low Stock","Available")</f>
        <v>Available</v>
      </c>
      <c r="AA76" s="2" t="str">
        <f>IF(supply_chain_data!$K76&gt;7,"Delayed","On Time")</f>
        <v>On Time</v>
      </c>
    </row>
    <row r="77" spans="1:27" x14ac:dyDescent="0.3">
      <c r="A77" s="3" t="s">
        <v>33</v>
      </c>
      <c r="B77" s="3" t="s">
        <v>129</v>
      </c>
      <c r="C77" s="3">
        <v>92.996884230000006</v>
      </c>
      <c r="D77" s="3">
        <v>29</v>
      </c>
      <c r="E77" s="3">
        <v>106</v>
      </c>
      <c r="F77" s="3">
        <v>1889.07359</v>
      </c>
      <c r="G77" s="3" t="s">
        <v>26</v>
      </c>
      <c r="H77" s="3">
        <v>16</v>
      </c>
      <c r="I77" s="3">
        <v>20</v>
      </c>
      <c r="J77" s="3">
        <v>56</v>
      </c>
      <c r="K77" s="3">
        <v>10</v>
      </c>
      <c r="L77" s="3" t="s">
        <v>43</v>
      </c>
      <c r="M77" s="3">
        <v>2.4738977609999999</v>
      </c>
      <c r="N77" s="3" t="s">
        <v>39</v>
      </c>
      <c r="O77" s="3" t="s">
        <v>62</v>
      </c>
      <c r="P77" s="3">
        <v>25</v>
      </c>
      <c r="Q77" s="3">
        <v>759</v>
      </c>
      <c r="R77" s="3">
        <v>11</v>
      </c>
      <c r="S77" s="3">
        <v>48.064782639999997</v>
      </c>
      <c r="T77" s="3" t="s">
        <v>64</v>
      </c>
      <c r="U77" s="3">
        <v>2.0300690889999999</v>
      </c>
      <c r="V77" s="3" t="s">
        <v>40</v>
      </c>
      <c r="W77" s="3" t="s">
        <v>41</v>
      </c>
      <c r="X77" s="3">
        <v>873.12964799999997</v>
      </c>
      <c r="Y77" s="3">
        <f>supply_chain_data!$F77-supply_chain_data!$X77</f>
        <v>1015.943942</v>
      </c>
      <c r="Z77" s="3" t="str">
        <f>IF(supply_chain_data!$H77&lt;20,"Low Stock","Available")</f>
        <v>Low Stock</v>
      </c>
      <c r="AA77" s="3" t="str">
        <f>IF(supply_chain_data!$K77&gt;7,"Delayed","On Time")</f>
        <v>Delayed</v>
      </c>
    </row>
    <row r="78" spans="1:27" x14ac:dyDescent="0.3">
      <c r="A78" s="2" t="s">
        <v>24</v>
      </c>
      <c r="B78" s="2" t="s">
        <v>130</v>
      </c>
      <c r="C78" s="2">
        <v>69.108799550000001</v>
      </c>
      <c r="D78" s="2">
        <v>23</v>
      </c>
      <c r="E78" s="2">
        <v>241</v>
      </c>
      <c r="F78" s="2">
        <v>5328.3759840000002</v>
      </c>
      <c r="G78" s="2" t="s">
        <v>55</v>
      </c>
      <c r="H78" s="2">
        <v>38</v>
      </c>
      <c r="I78" s="2">
        <v>1</v>
      </c>
      <c r="J78" s="2">
        <v>22</v>
      </c>
      <c r="K78" s="2">
        <v>10</v>
      </c>
      <c r="L78" s="2" t="s">
        <v>36</v>
      </c>
      <c r="M78" s="2">
        <v>7.0545383370000003</v>
      </c>
      <c r="N78" s="2" t="s">
        <v>61</v>
      </c>
      <c r="O78" s="2" t="s">
        <v>53</v>
      </c>
      <c r="P78" s="2">
        <v>25</v>
      </c>
      <c r="Q78" s="2">
        <v>985</v>
      </c>
      <c r="R78" s="2">
        <v>24</v>
      </c>
      <c r="S78" s="2">
        <v>64.323597800000002</v>
      </c>
      <c r="T78" s="2" t="s">
        <v>30</v>
      </c>
      <c r="U78" s="2">
        <v>2.1800374520000001</v>
      </c>
      <c r="V78" s="2" t="s">
        <v>47</v>
      </c>
      <c r="W78" s="2" t="s">
        <v>48</v>
      </c>
      <c r="X78" s="2">
        <v>997.41345009999998</v>
      </c>
      <c r="Y78" s="2">
        <f>supply_chain_data!$F78-supply_chain_data!$X78</f>
        <v>4330.9625339000004</v>
      </c>
      <c r="Z78" s="2" t="str">
        <f>IF(supply_chain_data!$H78&lt;20,"Low Stock","Available")</f>
        <v>Available</v>
      </c>
      <c r="AA78" s="2" t="str">
        <f>IF(supply_chain_data!$K78&gt;7,"Delayed","On Time")</f>
        <v>Delayed</v>
      </c>
    </row>
    <row r="79" spans="1:27" x14ac:dyDescent="0.3">
      <c r="A79" s="3" t="s">
        <v>24</v>
      </c>
      <c r="B79" s="3" t="s">
        <v>131</v>
      </c>
      <c r="C79" s="3">
        <v>57.449742960000002</v>
      </c>
      <c r="D79" s="3">
        <v>14</v>
      </c>
      <c r="E79" s="3">
        <v>359</v>
      </c>
      <c r="F79" s="3">
        <v>2483.760178</v>
      </c>
      <c r="G79" s="3" t="s">
        <v>38</v>
      </c>
      <c r="H79" s="3">
        <v>96</v>
      </c>
      <c r="I79" s="3">
        <v>28</v>
      </c>
      <c r="J79" s="3">
        <v>57</v>
      </c>
      <c r="K79" s="3">
        <v>4</v>
      </c>
      <c r="L79" s="3" t="s">
        <v>27</v>
      </c>
      <c r="M79" s="3">
        <v>6.7809466260000004</v>
      </c>
      <c r="N79" s="3" t="s">
        <v>39</v>
      </c>
      <c r="O79" s="3" t="s">
        <v>45</v>
      </c>
      <c r="P79" s="3">
        <v>26</v>
      </c>
      <c r="Q79" s="3">
        <v>334</v>
      </c>
      <c r="R79" s="3">
        <v>5</v>
      </c>
      <c r="S79" s="3">
        <v>42.952444749999998</v>
      </c>
      <c r="T79" s="3" t="s">
        <v>64</v>
      </c>
      <c r="U79" s="3">
        <v>3.0551418180000001</v>
      </c>
      <c r="V79" s="3" t="s">
        <v>31</v>
      </c>
      <c r="W79" s="3" t="s">
        <v>32</v>
      </c>
      <c r="X79" s="3">
        <v>852.5680989</v>
      </c>
      <c r="Y79" s="3">
        <f>supply_chain_data!$F79-supply_chain_data!$X79</f>
        <v>1631.1920791</v>
      </c>
      <c r="Z79" s="3" t="str">
        <f>IF(supply_chain_data!$H79&lt;20,"Low Stock","Available")</f>
        <v>Available</v>
      </c>
      <c r="AA79" s="3" t="str">
        <f>IF(supply_chain_data!$K79&gt;7,"Delayed","On Time")</f>
        <v>On Time</v>
      </c>
    </row>
    <row r="80" spans="1:27" x14ac:dyDescent="0.3">
      <c r="A80" s="2" t="s">
        <v>24</v>
      </c>
      <c r="B80" s="2" t="s">
        <v>132</v>
      </c>
      <c r="C80" s="2">
        <v>6.3068831760000004</v>
      </c>
      <c r="D80" s="2">
        <v>50</v>
      </c>
      <c r="E80" s="2">
        <v>946</v>
      </c>
      <c r="F80" s="2">
        <v>1292.4584179999999</v>
      </c>
      <c r="G80" s="2" t="s">
        <v>38</v>
      </c>
      <c r="H80" s="2">
        <v>5</v>
      </c>
      <c r="I80" s="2">
        <v>4</v>
      </c>
      <c r="J80" s="2">
        <v>51</v>
      </c>
      <c r="K80" s="2">
        <v>5</v>
      </c>
      <c r="L80" s="2" t="s">
        <v>27</v>
      </c>
      <c r="M80" s="2">
        <v>8.4670497709999992</v>
      </c>
      <c r="N80" s="2" t="s">
        <v>44</v>
      </c>
      <c r="O80" s="2" t="s">
        <v>29</v>
      </c>
      <c r="P80" s="2">
        <v>25</v>
      </c>
      <c r="Q80" s="2">
        <v>858</v>
      </c>
      <c r="R80" s="2">
        <v>21</v>
      </c>
      <c r="S80" s="2">
        <v>71.126514720000003</v>
      </c>
      <c r="T80" s="2" t="s">
        <v>30</v>
      </c>
      <c r="U80" s="2">
        <v>4.0968813319999997</v>
      </c>
      <c r="V80" s="2" t="s">
        <v>56</v>
      </c>
      <c r="W80" s="2" t="s">
        <v>41</v>
      </c>
      <c r="X80" s="2">
        <v>323.59220340000002</v>
      </c>
      <c r="Y80" s="2">
        <f>supply_chain_data!$F80-supply_chain_data!$X80</f>
        <v>968.86621459999992</v>
      </c>
      <c r="Z80" s="2" t="str">
        <f>IF(supply_chain_data!$H80&lt;20,"Low Stock","Available")</f>
        <v>Low Stock</v>
      </c>
      <c r="AA80" s="2" t="str">
        <f>IF(supply_chain_data!$K80&gt;7,"Delayed","On Time")</f>
        <v>On Time</v>
      </c>
    </row>
    <row r="81" spans="1:27" x14ac:dyDescent="0.3">
      <c r="A81" s="3" t="s">
        <v>24</v>
      </c>
      <c r="B81" s="3" t="s">
        <v>133</v>
      </c>
      <c r="C81" s="3">
        <v>57.057031219999999</v>
      </c>
      <c r="D81" s="3">
        <v>56</v>
      </c>
      <c r="E81" s="3">
        <v>198</v>
      </c>
      <c r="F81" s="3">
        <v>7888.7232679999997</v>
      </c>
      <c r="G81" s="3" t="s">
        <v>26</v>
      </c>
      <c r="H81" s="3">
        <v>31</v>
      </c>
      <c r="I81" s="3">
        <v>25</v>
      </c>
      <c r="J81" s="3">
        <v>20</v>
      </c>
      <c r="K81" s="3">
        <v>1</v>
      </c>
      <c r="L81" s="3" t="s">
        <v>27</v>
      </c>
      <c r="M81" s="3">
        <v>6.4963253639999996</v>
      </c>
      <c r="N81" s="3" t="s">
        <v>28</v>
      </c>
      <c r="O81" s="3" t="s">
        <v>53</v>
      </c>
      <c r="P81" s="3">
        <v>5</v>
      </c>
      <c r="Q81" s="3">
        <v>228</v>
      </c>
      <c r="R81" s="3">
        <v>12</v>
      </c>
      <c r="S81" s="3">
        <v>57.870902919999999</v>
      </c>
      <c r="T81" s="3" t="s">
        <v>30</v>
      </c>
      <c r="U81" s="3">
        <v>0.16587162699999999</v>
      </c>
      <c r="V81" s="3" t="s">
        <v>40</v>
      </c>
      <c r="W81" s="3" t="s">
        <v>41</v>
      </c>
      <c r="X81" s="3">
        <v>351.50421929999999</v>
      </c>
      <c r="Y81" s="3">
        <f>supply_chain_data!$F81-supply_chain_data!$X81</f>
        <v>7537.2190486999998</v>
      </c>
      <c r="Z81" s="3" t="str">
        <f>IF(supply_chain_data!$H81&lt;20,"Low Stock","Available")</f>
        <v>Available</v>
      </c>
      <c r="AA81" s="3" t="str">
        <f>IF(supply_chain_data!$K81&gt;7,"Delayed","On Time")</f>
        <v>On Time</v>
      </c>
    </row>
    <row r="82" spans="1:27" x14ac:dyDescent="0.3">
      <c r="A82" s="2" t="s">
        <v>33</v>
      </c>
      <c r="B82" s="2" t="s">
        <v>134</v>
      </c>
      <c r="C82" s="2">
        <v>91.128318350000001</v>
      </c>
      <c r="D82" s="2">
        <v>75</v>
      </c>
      <c r="E82" s="2">
        <v>872</v>
      </c>
      <c r="F82" s="2">
        <v>8651.6726830000007</v>
      </c>
      <c r="G82" s="2" t="s">
        <v>38</v>
      </c>
      <c r="H82" s="2">
        <v>39</v>
      </c>
      <c r="I82" s="2">
        <v>14</v>
      </c>
      <c r="J82" s="2">
        <v>41</v>
      </c>
      <c r="K82" s="2">
        <v>2</v>
      </c>
      <c r="L82" s="2" t="s">
        <v>43</v>
      </c>
      <c r="M82" s="2">
        <v>2.8331846789999999</v>
      </c>
      <c r="N82" s="2" t="s">
        <v>28</v>
      </c>
      <c r="O82" s="2" t="s">
        <v>62</v>
      </c>
      <c r="P82" s="2">
        <v>8</v>
      </c>
      <c r="Q82" s="2">
        <v>202</v>
      </c>
      <c r="R82" s="2">
        <v>5</v>
      </c>
      <c r="S82" s="2">
        <v>76.961228019999993</v>
      </c>
      <c r="T82" s="2" t="s">
        <v>46</v>
      </c>
      <c r="U82" s="2">
        <v>2.849662199</v>
      </c>
      <c r="V82" s="2" t="s">
        <v>56</v>
      </c>
      <c r="W82" s="2" t="s">
        <v>32</v>
      </c>
      <c r="X82" s="2">
        <v>787.77985049999995</v>
      </c>
      <c r="Y82" s="2">
        <f>supply_chain_data!$F82-supply_chain_data!$X82</f>
        <v>7863.8928325000006</v>
      </c>
      <c r="Z82" s="2" t="str">
        <f>IF(supply_chain_data!$H82&lt;20,"Low Stock","Available")</f>
        <v>Available</v>
      </c>
      <c r="AA82" s="2" t="str">
        <f>IF(supply_chain_data!$K82&gt;7,"Delayed","On Time")</f>
        <v>On Time</v>
      </c>
    </row>
    <row r="83" spans="1:27" x14ac:dyDescent="0.3">
      <c r="A83" s="3" t="s">
        <v>24</v>
      </c>
      <c r="B83" s="3" t="s">
        <v>135</v>
      </c>
      <c r="C83" s="3">
        <v>72.819206930000007</v>
      </c>
      <c r="D83" s="3">
        <v>9</v>
      </c>
      <c r="E83" s="3">
        <v>774</v>
      </c>
      <c r="F83" s="3">
        <v>4384.4134000000004</v>
      </c>
      <c r="G83" s="3" t="s">
        <v>38</v>
      </c>
      <c r="H83" s="3">
        <v>48</v>
      </c>
      <c r="I83" s="3">
        <v>6</v>
      </c>
      <c r="J83" s="3">
        <v>8</v>
      </c>
      <c r="K83" s="3">
        <v>5</v>
      </c>
      <c r="L83" s="3" t="s">
        <v>27</v>
      </c>
      <c r="M83" s="3">
        <v>4.0662775020000002</v>
      </c>
      <c r="N83" s="3" t="s">
        <v>28</v>
      </c>
      <c r="O83" s="3" t="s">
        <v>50</v>
      </c>
      <c r="P83" s="3">
        <v>28</v>
      </c>
      <c r="Q83" s="3">
        <v>698</v>
      </c>
      <c r="R83" s="3">
        <v>1</v>
      </c>
      <c r="S83" s="3">
        <v>19.789592939999999</v>
      </c>
      <c r="T83" s="3" t="s">
        <v>30</v>
      </c>
      <c r="U83" s="3">
        <v>2.5475471220000001</v>
      </c>
      <c r="V83" s="3" t="s">
        <v>47</v>
      </c>
      <c r="W83" s="3" t="s">
        <v>32</v>
      </c>
      <c r="X83" s="3">
        <v>276.7783359</v>
      </c>
      <c r="Y83" s="3">
        <f>supply_chain_data!$F83-supply_chain_data!$X83</f>
        <v>4107.6350641000008</v>
      </c>
      <c r="Z83" s="3" t="str">
        <f>IF(supply_chain_data!$H83&lt;20,"Low Stock","Available")</f>
        <v>Available</v>
      </c>
      <c r="AA83" s="3" t="str">
        <f>IF(supply_chain_data!$K83&gt;7,"Delayed","On Time")</f>
        <v>On Time</v>
      </c>
    </row>
    <row r="84" spans="1:27" x14ac:dyDescent="0.3">
      <c r="A84" s="2" t="s">
        <v>33</v>
      </c>
      <c r="B84" s="2" t="s">
        <v>136</v>
      </c>
      <c r="C84" s="2">
        <v>17.03493074</v>
      </c>
      <c r="D84" s="2">
        <v>13</v>
      </c>
      <c r="E84" s="2">
        <v>336</v>
      </c>
      <c r="F84" s="2">
        <v>2943.3818679999999</v>
      </c>
      <c r="G84" s="2" t="s">
        <v>38</v>
      </c>
      <c r="H84" s="2">
        <v>42</v>
      </c>
      <c r="I84" s="2">
        <v>19</v>
      </c>
      <c r="J84" s="2">
        <v>72</v>
      </c>
      <c r="K84" s="2">
        <v>1</v>
      </c>
      <c r="L84" s="2" t="s">
        <v>36</v>
      </c>
      <c r="M84" s="2">
        <v>4.7081818740000001</v>
      </c>
      <c r="N84" s="2" t="s">
        <v>61</v>
      </c>
      <c r="O84" s="2" t="s">
        <v>29</v>
      </c>
      <c r="P84" s="2">
        <v>6</v>
      </c>
      <c r="Q84" s="2">
        <v>955</v>
      </c>
      <c r="R84" s="2">
        <v>26</v>
      </c>
      <c r="S84" s="2">
        <v>4.4652784350000001</v>
      </c>
      <c r="T84" s="2" t="s">
        <v>30</v>
      </c>
      <c r="U84" s="2">
        <v>4.1378770490000001</v>
      </c>
      <c r="V84" s="2" t="s">
        <v>31</v>
      </c>
      <c r="W84" s="2" t="s">
        <v>41</v>
      </c>
      <c r="X84" s="2">
        <v>589.97855560000005</v>
      </c>
      <c r="Y84" s="2">
        <f>supply_chain_data!$F84-supply_chain_data!$X84</f>
        <v>2353.4033123999998</v>
      </c>
      <c r="Z84" s="2" t="str">
        <f>IF(supply_chain_data!$H84&lt;20,"Low Stock","Available")</f>
        <v>Available</v>
      </c>
      <c r="AA84" s="2" t="str">
        <f>IF(supply_chain_data!$K84&gt;7,"Delayed","On Time")</f>
        <v>On Time</v>
      </c>
    </row>
    <row r="85" spans="1:27" x14ac:dyDescent="0.3">
      <c r="A85" s="3" t="s">
        <v>24</v>
      </c>
      <c r="B85" s="3" t="s">
        <v>137</v>
      </c>
      <c r="C85" s="3">
        <v>68.911246210000002</v>
      </c>
      <c r="D85" s="3">
        <v>82</v>
      </c>
      <c r="E85" s="3">
        <v>663</v>
      </c>
      <c r="F85" s="3">
        <v>2411.7546320000001</v>
      </c>
      <c r="G85" s="3" t="s">
        <v>38</v>
      </c>
      <c r="H85" s="3">
        <v>65</v>
      </c>
      <c r="I85" s="3">
        <v>24</v>
      </c>
      <c r="J85" s="3">
        <v>7</v>
      </c>
      <c r="K85" s="3">
        <v>8</v>
      </c>
      <c r="L85" s="3" t="s">
        <v>27</v>
      </c>
      <c r="M85" s="3">
        <v>4.9498395779999997</v>
      </c>
      <c r="N85" s="3" t="s">
        <v>39</v>
      </c>
      <c r="O85" s="3" t="s">
        <v>53</v>
      </c>
      <c r="P85" s="3">
        <v>20</v>
      </c>
      <c r="Q85" s="3">
        <v>443</v>
      </c>
      <c r="R85" s="3">
        <v>5</v>
      </c>
      <c r="S85" s="3">
        <v>97.730593799999994</v>
      </c>
      <c r="T85" s="3" t="s">
        <v>46</v>
      </c>
      <c r="U85" s="3">
        <v>0.77300613399999996</v>
      </c>
      <c r="V85" s="3" t="s">
        <v>31</v>
      </c>
      <c r="W85" s="3" t="s">
        <v>48</v>
      </c>
      <c r="X85" s="3">
        <v>682.9710182</v>
      </c>
      <c r="Y85" s="3">
        <f>supply_chain_data!$F85-supply_chain_data!$X85</f>
        <v>1728.7836138000002</v>
      </c>
      <c r="Z85" s="3" t="str">
        <f>IF(supply_chain_data!$H85&lt;20,"Low Stock","Available")</f>
        <v>Available</v>
      </c>
      <c r="AA85" s="3" t="str">
        <f>IF(supply_chain_data!$K85&gt;7,"Delayed","On Time")</f>
        <v>Delayed</v>
      </c>
    </row>
    <row r="86" spans="1:27" x14ac:dyDescent="0.3">
      <c r="A86" s="2" t="s">
        <v>24</v>
      </c>
      <c r="B86" s="2" t="s">
        <v>138</v>
      </c>
      <c r="C86" s="2">
        <v>89.104367289999999</v>
      </c>
      <c r="D86" s="2">
        <v>99</v>
      </c>
      <c r="E86" s="2">
        <v>618</v>
      </c>
      <c r="F86" s="2">
        <v>2048.2901000000002</v>
      </c>
      <c r="G86" s="2" t="s">
        <v>38</v>
      </c>
      <c r="H86" s="2">
        <v>73</v>
      </c>
      <c r="I86" s="2">
        <v>26</v>
      </c>
      <c r="J86" s="2">
        <v>80</v>
      </c>
      <c r="K86" s="2">
        <v>10</v>
      </c>
      <c r="L86" s="2" t="s">
        <v>36</v>
      </c>
      <c r="M86" s="2">
        <v>8.3816156250000002</v>
      </c>
      <c r="N86" s="2" t="s">
        <v>44</v>
      </c>
      <c r="O86" s="2" t="s">
        <v>62</v>
      </c>
      <c r="P86" s="2">
        <v>24</v>
      </c>
      <c r="Q86" s="2">
        <v>589</v>
      </c>
      <c r="R86" s="2">
        <v>22</v>
      </c>
      <c r="S86" s="2">
        <v>33.808636509999999</v>
      </c>
      <c r="T86" s="2" t="s">
        <v>64</v>
      </c>
      <c r="U86" s="2">
        <v>4.8434565770000004</v>
      </c>
      <c r="V86" s="2" t="s">
        <v>40</v>
      </c>
      <c r="W86" s="2" t="s">
        <v>32</v>
      </c>
      <c r="X86" s="2">
        <v>465.45700599999998</v>
      </c>
      <c r="Y86" s="2">
        <f>supply_chain_data!$F86-supply_chain_data!$X86</f>
        <v>1582.8330940000001</v>
      </c>
      <c r="Z86" s="2" t="str">
        <f>IF(supply_chain_data!$H86&lt;20,"Low Stock","Available")</f>
        <v>Available</v>
      </c>
      <c r="AA86" s="2" t="str">
        <f>IF(supply_chain_data!$K86&gt;7,"Delayed","On Time")</f>
        <v>Delayed</v>
      </c>
    </row>
    <row r="87" spans="1:27" x14ac:dyDescent="0.3">
      <c r="A87" s="3" t="s">
        <v>57</v>
      </c>
      <c r="B87" s="3" t="s">
        <v>139</v>
      </c>
      <c r="C87" s="3">
        <v>76.962994420000001</v>
      </c>
      <c r="D87" s="3">
        <v>83</v>
      </c>
      <c r="E87" s="3">
        <v>25</v>
      </c>
      <c r="F87" s="3">
        <v>8684.6130589999993</v>
      </c>
      <c r="G87" s="3" t="s">
        <v>35</v>
      </c>
      <c r="H87" s="3">
        <v>15</v>
      </c>
      <c r="I87" s="3">
        <v>18</v>
      </c>
      <c r="J87" s="3">
        <v>66</v>
      </c>
      <c r="K87" s="3">
        <v>2</v>
      </c>
      <c r="L87" s="3" t="s">
        <v>43</v>
      </c>
      <c r="M87" s="3">
        <v>8.2491687050000007</v>
      </c>
      <c r="N87" s="3" t="s">
        <v>44</v>
      </c>
      <c r="O87" s="3" t="s">
        <v>62</v>
      </c>
      <c r="P87" s="3">
        <v>4</v>
      </c>
      <c r="Q87" s="3">
        <v>211</v>
      </c>
      <c r="R87" s="3">
        <v>2</v>
      </c>
      <c r="S87" s="3">
        <v>69.929345519999998</v>
      </c>
      <c r="T87" s="3" t="s">
        <v>46</v>
      </c>
      <c r="U87" s="3">
        <v>1.3744289999999999</v>
      </c>
      <c r="V87" s="3" t="s">
        <v>31</v>
      </c>
      <c r="W87" s="3" t="s">
        <v>32</v>
      </c>
      <c r="X87" s="3">
        <v>842.68682999999999</v>
      </c>
      <c r="Y87" s="3">
        <f>supply_chain_data!$F87-supply_chain_data!$X87</f>
        <v>7841.9262289999997</v>
      </c>
      <c r="Z87" s="3" t="str">
        <f>IF(supply_chain_data!$H87&lt;20,"Low Stock","Available")</f>
        <v>Low Stock</v>
      </c>
      <c r="AA87" s="3" t="str">
        <f>IF(supply_chain_data!$K87&gt;7,"Delayed","On Time")</f>
        <v>On Time</v>
      </c>
    </row>
    <row r="88" spans="1:27" x14ac:dyDescent="0.3">
      <c r="A88" s="2" t="s">
        <v>33</v>
      </c>
      <c r="B88" s="2" t="s">
        <v>140</v>
      </c>
      <c r="C88" s="2">
        <v>19.99817694</v>
      </c>
      <c r="D88" s="2">
        <v>18</v>
      </c>
      <c r="E88" s="2">
        <v>223</v>
      </c>
      <c r="F88" s="2">
        <v>1229.5910289999999</v>
      </c>
      <c r="G88" s="2" t="s">
        <v>38</v>
      </c>
      <c r="H88" s="2">
        <v>32</v>
      </c>
      <c r="I88" s="2">
        <v>14</v>
      </c>
      <c r="J88" s="2">
        <v>22</v>
      </c>
      <c r="K88" s="2">
        <v>6</v>
      </c>
      <c r="L88" s="2" t="s">
        <v>27</v>
      </c>
      <c r="M88" s="2">
        <v>1.4543053100000001</v>
      </c>
      <c r="N88" s="2" t="s">
        <v>39</v>
      </c>
      <c r="O88" s="2" t="s">
        <v>29</v>
      </c>
      <c r="P88" s="2">
        <v>4</v>
      </c>
      <c r="Q88" s="2">
        <v>569</v>
      </c>
      <c r="R88" s="2">
        <v>18</v>
      </c>
      <c r="S88" s="2">
        <v>74.608969999999999</v>
      </c>
      <c r="T88" s="2" t="s">
        <v>64</v>
      </c>
      <c r="U88" s="2">
        <v>2.051512931</v>
      </c>
      <c r="V88" s="2" t="s">
        <v>47</v>
      </c>
      <c r="W88" s="2" t="s">
        <v>48</v>
      </c>
      <c r="X88" s="2">
        <v>264.2548898</v>
      </c>
      <c r="Y88" s="2">
        <f>supply_chain_data!$F88-supply_chain_data!$X88</f>
        <v>965.33613919999993</v>
      </c>
      <c r="Z88" s="2" t="str">
        <f>IF(supply_chain_data!$H88&lt;20,"Low Stock","Available")</f>
        <v>Available</v>
      </c>
      <c r="AA88" s="2" t="str">
        <f>IF(supply_chain_data!$K88&gt;7,"Delayed","On Time")</f>
        <v>On Time</v>
      </c>
    </row>
    <row r="89" spans="1:27" x14ac:dyDescent="0.3">
      <c r="A89" s="3" t="s">
        <v>24</v>
      </c>
      <c r="B89" s="3" t="s">
        <v>141</v>
      </c>
      <c r="C89" s="3">
        <v>80.41403665</v>
      </c>
      <c r="D89" s="3">
        <v>24</v>
      </c>
      <c r="E89" s="3">
        <v>79</v>
      </c>
      <c r="F89" s="3">
        <v>5133.8467010000004</v>
      </c>
      <c r="G89" s="3" t="s">
        <v>55</v>
      </c>
      <c r="H89" s="3">
        <v>5</v>
      </c>
      <c r="I89" s="3">
        <v>7</v>
      </c>
      <c r="J89" s="3">
        <v>55</v>
      </c>
      <c r="K89" s="3">
        <v>10</v>
      </c>
      <c r="L89" s="3" t="s">
        <v>36</v>
      </c>
      <c r="M89" s="3">
        <v>6.5758037979999999</v>
      </c>
      <c r="N89" s="3" t="s">
        <v>28</v>
      </c>
      <c r="O89" s="3" t="s">
        <v>62</v>
      </c>
      <c r="P89" s="3">
        <v>27</v>
      </c>
      <c r="Q89" s="3">
        <v>523</v>
      </c>
      <c r="R89" s="3">
        <v>17</v>
      </c>
      <c r="S89" s="3">
        <v>28.696996819999999</v>
      </c>
      <c r="T89" s="3" t="s">
        <v>46</v>
      </c>
      <c r="U89" s="3">
        <v>3.693737788</v>
      </c>
      <c r="V89" s="3" t="s">
        <v>56</v>
      </c>
      <c r="W89" s="3" t="s">
        <v>32</v>
      </c>
      <c r="X89" s="3">
        <v>879.35921770000004</v>
      </c>
      <c r="Y89" s="3">
        <f>supply_chain_data!$F89-supply_chain_data!$X89</f>
        <v>4254.4874833000003</v>
      </c>
      <c r="Z89" s="3" t="str">
        <f>IF(supply_chain_data!$H89&lt;20,"Low Stock","Available")</f>
        <v>Low Stock</v>
      </c>
      <c r="AA89" s="3" t="str">
        <f>IF(supply_chain_data!$K89&gt;7,"Delayed","On Time")</f>
        <v>Delayed</v>
      </c>
    </row>
    <row r="90" spans="1:27" x14ac:dyDescent="0.3">
      <c r="A90" s="2" t="s">
        <v>57</v>
      </c>
      <c r="B90" s="2" t="s">
        <v>142</v>
      </c>
      <c r="C90" s="2">
        <v>75.270406980000004</v>
      </c>
      <c r="D90" s="2">
        <v>58</v>
      </c>
      <c r="E90" s="2">
        <v>737</v>
      </c>
      <c r="F90" s="2">
        <v>9444.7420330000004</v>
      </c>
      <c r="G90" s="2" t="s">
        <v>55</v>
      </c>
      <c r="H90" s="2">
        <v>60</v>
      </c>
      <c r="I90" s="2">
        <v>18</v>
      </c>
      <c r="J90" s="2">
        <v>85</v>
      </c>
      <c r="K90" s="2">
        <v>7</v>
      </c>
      <c r="L90" s="2" t="s">
        <v>36</v>
      </c>
      <c r="M90" s="2">
        <v>3.8012531329999999</v>
      </c>
      <c r="N90" s="2" t="s">
        <v>61</v>
      </c>
      <c r="O90" s="2" t="s">
        <v>29</v>
      </c>
      <c r="P90" s="2">
        <v>21</v>
      </c>
      <c r="Q90" s="2">
        <v>953</v>
      </c>
      <c r="R90" s="2">
        <v>11</v>
      </c>
      <c r="S90" s="2">
        <v>68.184919059999999</v>
      </c>
      <c r="T90" s="2" t="s">
        <v>30</v>
      </c>
      <c r="U90" s="2">
        <v>0.72220440200000002</v>
      </c>
      <c r="V90" s="2" t="s">
        <v>56</v>
      </c>
      <c r="W90" s="2" t="s">
        <v>48</v>
      </c>
      <c r="X90" s="2">
        <v>103.916248</v>
      </c>
      <c r="Y90" s="2">
        <f>supply_chain_data!$F90-supply_chain_data!$X90</f>
        <v>9340.8257850000009</v>
      </c>
      <c r="Z90" s="2" t="str">
        <f>IF(supply_chain_data!$H90&lt;20,"Low Stock","Available")</f>
        <v>Available</v>
      </c>
      <c r="AA90" s="2" t="str">
        <f>IF(supply_chain_data!$K90&gt;7,"Delayed","On Time")</f>
        <v>On Time</v>
      </c>
    </row>
    <row r="91" spans="1:27" x14ac:dyDescent="0.3">
      <c r="A91" s="3" t="s">
        <v>57</v>
      </c>
      <c r="B91" s="3" t="s">
        <v>143</v>
      </c>
      <c r="C91" s="3">
        <v>97.760085579999995</v>
      </c>
      <c r="D91" s="3">
        <v>10</v>
      </c>
      <c r="E91" s="3">
        <v>134</v>
      </c>
      <c r="F91" s="3">
        <v>5924.6825669999998</v>
      </c>
      <c r="G91" s="3" t="s">
        <v>38</v>
      </c>
      <c r="H91" s="3">
        <v>90</v>
      </c>
      <c r="I91" s="3">
        <v>1</v>
      </c>
      <c r="J91" s="3">
        <v>27</v>
      </c>
      <c r="K91" s="3">
        <v>8</v>
      </c>
      <c r="L91" s="3" t="s">
        <v>27</v>
      </c>
      <c r="M91" s="3">
        <v>9.9298162449999996</v>
      </c>
      <c r="N91" s="3" t="s">
        <v>39</v>
      </c>
      <c r="O91" s="3" t="s">
        <v>45</v>
      </c>
      <c r="P91" s="3">
        <v>23</v>
      </c>
      <c r="Q91" s="3">
        <v>370</v>
      </c>
      <c r="R91" s="3">
        <v>11</v>
      </c>
      <c r="S91" s="3">
        <v>46.603873380000003</v>
      </c>
      <c r="T91" s="3" t="s">
        <v>30</v>
      </c>
      <c r="U91" s="3">
        <v>1.9076657340000001</v>
      </c>
      <c r="V91" s="3" t="s">
        <v>47</v>
      </c>
      <c r="W91" s="3" t="s">
        <v>32</v>
      </c>
      <c r="X91" s="3">
        <v>517.49997389999999</v>
      </c>
      <c r="Y91" s="3">
        <f>supply_chain_data!$F91-supply_chain_data!$X91</f>
        <v>5407.1825931000003</v>
      </c>
      <c r="Z91" s="3" t="str">
        <f>IF(supply_chain_data!$H91&lt;20,"Low Stock","Available")</f>
        <v>Available</v>
      </c>
      <c r="AA91" s="3" t="str">
        <f>IF(supply_chain_data!$K91&gt;7,"Delayed","On Time")</f>
        <v>Delayed</v>
      </c>
    </row>
    <row r="92" spans="1:27" x14ac:dyDescent="0.3">
      <c r="A92" s="2" t="s">
        <v>33</v>
      </c>
      <c r="B92" s="2" t="s">
        <v>144</v>
      </c>
      <c r="C92" s="2">
        <v>13.8819135</v>
      </c>
      <c r="D92" s="2">
        <v>56</v>
      </c>
      <c r="E92" s="2">
        <v>320</v>
      </c>
      <c r="F92" s="2">
        <v>9592.63357</v>
      </c>
      <c r="G92" s="2" t="s">
        <v>26</v>
      </c>
      <c r="H92" s="2">
        <v>66</v>
      </c>
      <c r="I92" s="2">
        <v>18</v>
      </c>
      <c r="J92" s="2">
        <v>96</v>
      </c>
      <c r="K92" s="2">
        <v>7</v>
      </c>
      <c r="L92" s="2" t="s">
        <v>27</v>
      </c>
      <c r="M92" s="2">
        <v>7.674430708</v>
      </c>
      <c r="N92" s="2" t="s">
        <v>28</v>
      </c>
      <c r="O92" s="2" t="s">
        <v>53</v>
      </c>
      <c r="P92" s="2">
        <v>8</v>
      </c>
      <c r="Q92" s="2">
        <v>585</v>
      </c>
      <c r="R92" s="2">
        <v>8</v>
      </c>
      <c r="S92" s="2">
        <v>85.675963339999996</v>
      </c>
      <c r="T92" s="2" t="s">
        <v>64</v>
      </c>
      <c r="U92" s="2">
        <v>1.2193822240000001</v>
      </c>
      <c r="V92" s="2" t="s">
        <v>47</v>
      </c>
      <c r="W92" s="2" t="s">
        <v>32</v>
      </c>
      <c r="X92" s="2">
        <v>990.07847249999998</v>
      </c>
      <c r="Y92" s="2">
        <f>supply_chain_data!$F92-supply_chain_data!$X92</f>
        <v>8602.5550975000006</v>
      </c>
      <c r="Z92" s="2" t="str">
        <f>IF(supply_chain_data!$H92&lt;20,"Low Stock","Available")</f>
        <v>Available</v>
      </c>
      <c r="AA92" s="2" t="str">
        <f>IF(supply_chain_data!$K92&gt;7,"Delayed","On Time")</f>
        <v>On Time</v>
      </c>
    </row>
    <row r="93" spans="1:27" x14ac:dyDescent="0.3">
      <c r="A93" s="3" t="s">
        <v>57</v>
      </c>
      <c r="B93" s="3" t="s">
        <v>145</v>
      </c>
      <c r="C93" s="3">
        <v>62.11196546</v>
      </c>
      <c r="D93" s="3">
        <v>90</v>
      </c>
      <c r="E93" s="3">
        <v>916</v>
      </c>
      <c r="F93" s="3">
        <v>1935.2067939999999</v>
      </c>
      <c r="G93" s="3" t="s">
        <v>55</v>
      </c>
      <c r="H93" s="3">
        <v>98</v>
      </c>
      <c r="I93" s="3">
        <v>22</v>
      </c>
      <c r="J93" s="3">
        <v>85</v>
      </c>
      <c r="K93" s="3">
        <v>7</v>
      </c>
      <c r="L93" s="3" t="s">
        <v>27</v>
      </c>
      <c r="M93" s="3">
        <v>7.4715140839999998</v>
      </c>
      <c r="N93" s="3" t="s">
        <v>52</v>
      </c>
      <c r="O93" s="3" t="s">
        <v>50</v>
      </c>
      <c r="P93" s="3">
        <v>5</v>
      </c>
      <c r="Q93" s="3">
        <v>207</v>
      </c>
      <c r="R93" s="3">
        <v>28</v>
      </c>
      <c r="S93" s="3">
        <v>39.772882500000001</v>
      </c>
      <c r="T93" s="3" t="s">
        <v>30</v>
      </c>
      <c r="U93" s="3">
        <v>0.62600185799999997</v>
      </c>
      <c r="V93" s="3" t="s">
        <v>47</v>
      </c>
      <c r="W93" s="3" t="s">
        <v>32</v>
      </c>
      <c r="X93" s="3">
        <v>996.77831500000002</v>
      </c>
      <c r="Y93" s="3">
        <f>supply_chain_data!$F93-supply_chain_data!$X93</f>
        <v>938.42847899999992</v>
      </c>
      <c r="Z93" s="3" t="str">
        <f>IF(supply_chain_data!$H93&lt;20,"Low Stock","Available")</f>
        <v>Available</v>
      </c>
      <c r="AA93" s="3" t="str">
        <f>IF(supply_chain_data!$K93&gt;7,"Delayed","On Time")</f>
        <v>On Time</v>
      </c>
    </row>
    <row r="94" spans="1:27" x14ac:dyDescent="0.3">
      <c r="A94" s="2" t="s">
        <v>57</v>
      </c>
      <c r="B94" s="2" t="s">
        <v>146</v>
      </c>
      <c r="C94" s="2">
        <v>47.71423308</v>
      </c>
      <c r="D94" s="2">
        <v>44</v>
      </c>
      <c r="E94" s="2">
        <v>276</v>
      </c>
      <c r="F94" s="2">
        <v>2100.1297549999999</v>
      </c>
      <c r="G94" s="2" t="s">
        <v>55</v>
      </c>
      <c r="H94" s="2">
        <v>90</v>
      </c>
      <c r="I94" s="2">
        <v>25</v>
      </c>
      <c r="J94" s="2">
        <v>10</v>
      </c>
      <c r="K94" s="2">
        <v>8</v>
      </c>
      <c r="L94" s="2" t="s">
        <v>27</v>
      </c>
      <c r="M94" s="2">
        <v>4.4695000260000004</v>
      </c>
      <c r="N94" s="2" t="s">
        <v>61</v>
      </c>
      <c r="O94" s="2" t="s">
        <v>29</v>
      </c>
      <c r="P94" s="2">
        <v>4</v>
      </c>
      <c r="Q94" s="2">
        <v>671</v>
      </c>
      <c r="R94" s="2">
        <v>29</v>
      </c>
      <c r="S94" s="2">
        <v>62.612690399999998</v>
      </c>
      <c r="T94" s="2" t="s">
        <v>64</v>
      </c>
      <c r="U94" s="2">
        <v>0.33343182500000002</v>
      </c>
      <c r="V94" s="2" t="s">
        <v>47</v>
      </c>
      <c r="W94" s="2" t="s">
        <v>32</v>
      </c>
      <c r="X94" s="2">
        <v>230.0927825</v>
      </c>
      <c r="Y94" s="2">
        <f>supply_chain_data!$F94-supply_chain_data!$X94</f>
        <v>1870.0369725</v>
      </c>
      <c r="Z94" s="2" t="str">
        <f>IF(supply_chain_data!$H94&lt;20,"Low Stock","Available")</f>
        <v>Available</v>
      </c>
      <c r="AA94" s="2" t="str">
        <f>IF(supply_chain_data!$K94&gt;7,"Delayed","On Time")</f>
        <v>Delayed</v>
      </c>
    </row>
    <row r="95" spans="1:27" x14ac:dyDescent="0.3">
      <c r="A95" s="3" t="s">
        <v>24</v>
      </c>
      <c r="B95" s="3" t="s">
        <v>147</v>
      </c>
      <c r="C95" s="3">
        <v>69.290830999999997</v>
      </c>
      <c r="D95" s="3">
        <v>88</v>
      </c>
      <c r="E95" s="3">
        <v>114</v>
      </c>
      <c r="F95" s="3">
        <v>4531.4021339999999</v>
      </c>
      <c r="G95" s="3" t="s">
        <v>38</v>
      </c>
      <c r="H95" s="3">
        <v>63</v>
      </c>
      <c r="I95" s="3">
        <v>17</v>
      </c>
      <c r="J95" s="3">
        <v>66</v>
      </c>
      <c r="K95" s="3">
        <v>1</v>
      </c>
      <c r="L95" s="3" t="s">
        <v>43</v>
      </c>
      <c r="M95" s="3">
        <v>7.0064320589999998</v>
      </c>
      <c r="N95" s="3" t="s">
        <v>52</v>
      </c>
      <c r="O95" s="3" t="s">
        <v>62</v>
      </c>
      <c r="P95" s="3">
        <v>21</v>
      </c>
      <c r="Q95" s="3">
        <v>824</v>
      </c>
      <c r="R95" s="3">
        <v>20</v>
      </c>
      <c r="S95" s="3">
        <v>35.633652339999998</v>
      </c>
      <c r="T95" s="3" t="s">
        <v>46</v>
      </c>
      <c r="U95" s="3">
        <v>4.165781795</v>
      </c>
      <c r="V95" s="3" t="s">
        <v>40</v>
      </c>
      <c r="W95" s="3" t="s">
        <v>48</v>
      </c>
      <c r="X95" s="3">
        <v>823.52384589999997</v>
      </c>
      <c r="Y95" s="3">
        <f>supply_chain_data!$F95-supply_chain_data!$X95</f>
        <v>3707.8782880999997</v>
      </c>
      <c r="Z95" s="3" t="str">
        <f>IF(supply_chain_data!$H95&lt;20,"Low Stock","Available")</f>
        <v>Available</v>
      </c>
      <c r="AA95" s="3" t="str">
        <f>IF(supply_chain_data!$K95&gt;7,"Delayed","On Time")</f>
        <v>On Time</v>
      </c>
    </row>
    <row r="96" spans="1:27" x14ac:dyDescent="0.3">
      <c r="A96" s="2" t="s">
        <v>57</v>
      </c>
      <c r="B96" s="2" t="s">
        <v>148</v>
      </c>
      <c r="C96" s="2">
        <v>3.0376887250000002</v>
      </c>
      <c r="D96" s="2">
        <v>97</v>
      </c>
      <c r="E96" s="2">
        <v>987</v>
      </c>
      <c r="F96" s="2">
        <v>7888.3565470000003</v>
      </c>
      <c r="G96" s="2" t="s">
        <v>38</v>
      </c>
      <c r="H96" s="2">
        <v>77</v>
      </c>
      <c r="I96" s="2">
        <v>26</v>
      </c>
      <c r="J96" s="2">
        <v>72</v>
      </c>
      <c r="K96" s="2">
        <v>9</v>
      </c>
      <c r="L96" s="2" t="s">
        <v>27</v>
      </c>
      <c r="M96" s="2">
        <v>6.9429459419999997</v>
      </c>
      <c r="N96" s="2" t="s">
        <v>61</v>
      </c>
      <c r="O96" s="2" t="s">
        <v>50</v>
      </c>
      <c r="P96" s="2">
        <v>12</v>
      </c>
      <c r="Q96" s="2">
        <v>908</v>
      </c>
      <c r="R96" s="2">
        <v>14</v>
      </c>
      <c r="S96" s="2">
        <v>60.387378609999999</v>
      </c>
      <c r="T96" s="2" t="s">
        <v>64</v>
      </c>
      <c r="U96" s="2">
        <v>1.463607498</v>
      </c>
      <c r="V96" s="2" t="s">
        <v>47</v>
      </c>
      <c r="W96" s="2" t="s">
        <v>32</v>
      </c>
      <c r="X96" s="2">
        <v>846.665257</v>
      </c>
      <c r="Y96" s="2">
        <f>supply_chain_data!$F96-supply_chain_data!$X96</f>
        <v>7041.6912900000007</v>
      </c>
      <c r="Z96" s="2" t="str">
        <f>IF(supply_chain_data!$H96&lt;20,"Low Stock","Available")</f>
        <v>Available</v>
      </c>
      <c r="AA96" s="2" t="str">
        <f>IF(supply_chain_data!$K96&gt;7,"Delayed","On Time")</f>
        <v>Delayed</v>
      </c>
    </row>
    <row r="97" spans="1:27" x14ac:dyDescent="0.3">
      <c r="A97" s="3" t="s">
        <v>24</v>
      </c>
      <c r="B97" s="3" t="s">
        <v>149</v>
      </c>
      <c r="C97" s="3">
        <v>77.90392722</v>
      </c>
      <c r="D97" s="3">
        <v>65</v>
      </c>
      <c r="E97" s="3">
        <v>672</v>
      </c>
      <c r="F97" s="3">
        <v>7386.3639439999997</v>
      </c>
      <c r="G97" s="3" t="s">
        <v>38</v>
      </c>
      <c r="H97" s="3">
        <v>15</v>
      </c>
      <c r="I97" s="3">
        <v>14</v>
      </c>
      <c r="J97" s="3">
        <v>26</v>
      </c>
      <c r="K97" s="3">
        <v>9</v>
      </c>
      <c r="L97" s="3" t="s">
        <v>27</v>
      </c>
      <c r="M97" s="3">
        <v>8.6303388699999992</v>
      </c>
      <c r="N97" s="3" t="s">
        <v>52</v>
      </c>
      <c r="O97" s="3" t="s">
        <v>29</v>
      </c>
      <c r="P97" s="3">
        <v>18</v>
      </c>
      <c r="Q97" s="3">
        <v>450</v>
      </c>
      <c r="R97" s="3">
        <v>26</v>
      </c>
      <c r="S97" s="3">
        <v>58.890685769999997</v>
      </c>
      <c r="T97" s="3" t="s">
        <v>30</v>
      </c>
      <c r="U97" s="3">
        <v>1.2108821299999999</v>
      </c>
      <c r="V97" s="3" t="s">
        <v>40</v>
      </c>
      <c r="W97" s="3" t="s">
        <v>48</v>
      </c>
      <c r="X97" s="3">
        <v>778.86424139999997</v>
      </c>
      <c r="Y97" s="3">
        <f>supply_chain_data!$F97-supply_chain_data!$X97</f>
        <v>6607.4997026000001</v>
      </c>
      <c r="Z97" s="3" t="str">
        <f>IF(supply_chain_data!$H97&lt;20,"Low Stock","Available")</f>
        <v>Low Stock</v>
      </c>
      <c r="AA97" s="3" t="str">
        <f>IF(supply_chain_data!$K97&gt;7,"Delayed","On Time")</f>
        <v>Delayed</v>
      </c>
    </row>
    <row r="98" spans="1:27" x14ac:dyDescent="0.3">
      <c r="A98" s="2" t="s">
        <v>57</v>
      </c>
      <c r="B98" s="2" t="s">
        <v>150</v>
      </c>
      <c r="C98" s="2">
        <v>24.423131420000001</v>
      </c>
      <c r="D98" s="2">
        <v>29</v>
      </c>
      <c r="E98" s="2">
        <v>324</v>
      </c>
      <c r="F98" s="2">
        <v>7698.4247660000001</v>
      </c>
      <c r="G98" s="2" t="s">
        <v>26</v>
      </c>
      <c r="H98" s="2">
        <v>67</v>
      </c>
      <c r="I98" s="2">
        <v>2</v>
      </c>
      <c r="J98" s="2">
        <v>32</v>
      </c>
      <c r="K98" s="2">
        <v>3</v>
      </c>
      <c r="L98" s="2" t="s">
        <v>43</v>
      </c>
      <c r="M98" s="2">
        <v>5.3528780439999997</v>
      </c>
      <c r="N98" s="2" t="s">
        <v>28</v>
      </c>
      <c r="O98" s="2" t="s">
        <v>29</v>
      </c>
      <c r="P98" s="2">
        <v>28</v>
      </c>
      <c r="Q98" s="2">
        <v>648</v>
      </c>
      <c r="R98" s="2">
        <v>28</v>
      </c>
      <c r="S98" s="2">
        <v>17.803756329999999</v>
      </c>
      <c r="T98" s="2" t="s">
        <v>30</v>
      </c>
      <c r="U98" s="2">
        <v>3.8720476810000002</v>
      </c>
      <c r="V98" s="2" t="s">
        <v>31</v>
      </c>
      <c r="W98" s="2" t="s">
        <v>48</v>
      </c>
      <c r="X98" s="2">
        <v>188.7421411</v>
      </c>
      <c r="Y98" s="2">
        <f>supply_chain_data!$F98-supply_chain_data!$X98</f>
        <v>7509.6826249000005</v>
      </c>
      <c r="Z98" s="2" t="str">
        <f>IF(supply_chain_data!$H98&lt;20,"Low Stock","Available")</f>
        <v>Available</v>
      </c>
      <c r="AA98" s="2" t="str">
        <f>IF(supply_chain_data!$K98&gt;7,"Delayed","On Time")</f>
        <v>On Time</v>
      </c>
    </row>
    <row r="99" spans="1:27" x14ac:dyDescent="0.3">
      <c r="A99" s="3" t="s">
        <v>24</v>
      </c>
      <c r="B99" s="3" t="s">
        <v>151</v>
      </c>
      <c r="C99" s="3">
        <v>3.5261112589999999</v>
      </c>
      <c r="D99" s="3">
        <v>56</v>
      </c>
      <c r="E99" s="3">
        <v>62</v>
      </c>
      <c r="F99" s="3">
        <v>4370.9165800000001</v>
      </c>
      <c r="G99" s="3" t="s">
        <v>55</v>
      </c>
      <c r="H99" s="3">
        <v>46</v>
      </c>
      <c r="I99" s="3">
        <v>19</v>
      </c>
      <c r="J99" s="3">
        <v>4</v>
      </c>
      <c r="K99" s="3">
        <v>9</v>
      </c>
      <c r="L99" s="3" t="s">
        <v>36</v>
      </c>
      <c r="M99" s="3">
        <v>7.9048456109999998</v>
      </c>
      <c r="N99" s="3" t="s">
        <v>52</v>
      </c>
      <c r="O99" s="3" t="s">
        <v>29</v>
      </c>
      <c r="P99" s="3">
        <v>10</v>
      </c>
      <c r="Q99" s="3">
        <v>535</v>
      </c>
      <c r="R99" s="3">
        <v>13</v>
      </c>
      <c r="S99" s="3">
        <v>65.765155930000006</v>
      </c>
      <c r="T99" s="3" t="s">
        <v>46</v>
      </c>
      <c r="U99" s="3">
        <v>3.376237835</v>
      </c>
      <c r="V99" s="3" t="s">
        <v>31</v>
      </c>
      <c r="W99" s="3" t="s">
        <v>48</v>
      </c>
      <c r="X99" s="3">
        <v>540.13242290000005</v>
      </c>
      <c r="Y99" s="3">
        <f>supply_chain_data!$F99-supply_chain_data!$X99</f>
        <v>3830.7841570999999</v>
      </c>
      <c r="Z99" s="3" t="str">
        <f>IF(supply_chain_data!$H99&lt;20,"Low Stock","Available")</f>
        <v>Available</v>
      </c>
      <c r="AA99" s="3" t="str">
        <f>IF(supply_chain_data!$K99&gt;7,"Delayed","On Time")</f>
        <v>Delayed</v>
      </c>
    </row>
    <row r="100" spans="1:27" x14ac:dyDescent="0.3">
      <c r="A100" s="2" t="s">
        <v>33</v>
      </c>
      <c r="B100" s="2" t="s">
        <v>152</v>
      </c>
      <c r="C100" s="2">
        <v>19.754604870000001</v>
      </c>
      <c r="D100" s="2">
        <v>43</v>
      </c>
      <c r="E100" s="2">
        <v>913</v>
      </c>
      <c r="F100" s="2">
        <v>8525.9525599999997</v>
      </c>
      <c r="G100" s="2" t="s">
        <v>35</v>
      </c>
      <c r="H100" s="2">
        <v>53</v>
      </c>
      <c r="I100" s="2">
        <v>1</v>
      </c>
      <c r="J100" s="2">
        <v>27</v>
      </c>
      <c r="K100" s="2">
        <v>7</v>
      </c>
      <c r="L100" s="2" t="s">
        <v>27</v>
      </c>
      <c r="M100" s="2">
        <v>1.4098010949999999</v>
      </c>
      <c r="N100" s="2" t="s">
        <v>44</v>
      </c>
      <c r="O100" s="2" t="s">
        <v>62</v>
      </c>
      <c r="P100" s="2">
        <v>28</v>
      </c>
      <c r="Q100" s="2">
        <v>581</v>
      </c>
      <c r="R100" s="2">
        <v>9</v>
      </c>
      <c r="S100" s="2">
        <v>5.6046908640000002</v>
      </c>
      <c r="T100" s="2" t="s">
        <v>30</v>
      </c>
      <c r="U100" s="2">
        <v>2.9081221689999999</v>
      </c>
      <c r="V100" s="2" t="s">
        <v>47</v>
      </c>
      <c r="W100" s="2" t="s">
        <v>48</v>
      </c>
      <c r="X100" s="2">
        <v>882.19886350000002</v>
      </c>
      <c r="Y100" s="2">
        <f>supply_chain_data!$F100-supply_chain_data!$X100</f>
        <v>7643.7536964999999</v>
      </c>
      <c r="Z100" s="2" t="str">
        <f>IF(supply_chain_data!$H100&lt;20,"Low Stock","Available")</f>
        <v>Available</v>
      </c>
      <c r="AA100" s="2" t="str">
        <f>IF(supply_chain_data!$K100&gt;7,"Delayed","On Time")</f>
        <v>On Time</v>
      </c>
    </row>
    <row r="101" spans="1:27" x14ac:dyDescent="0.3">
      <c r="A101" s="3" t="s">
        <v>24</v>
      </c>
      <c r="B101" s="3" t="s">
        <v>153</v>
      </c>
      <c r="C101" s="3">
        <v>68.5178327</v>
      </c>
      <c r="D101" s="3">
        <v>17</v>
      </c>
      <c r="E101" s="3">
        <v>627</v>
      </c>
      <c r="F101" s="3">
        <v>9185.185829</v>
      </c>
      <c r="G101" s="3" t="s">
        <v>38</v>
      </c>
      <c r="H101" s="3">
        <v>55</v>
      </c>
      <c r="I101" s="3">
        <v>8</v>
      </c>
      <c r="J101" s="3">
        <v>59</v>
      </c>
      <c r="K101" s="3">
        <v>6</v>
      </c>
      <c r="L101" s="3" t="s">
        <v>27</v>
      </c>
      <c r="M101" s="3">
        <v>1.311023756</v>
      </c>
      <c r="N101" s="3" t="s">
        <v>61</v>
      </c>
      <c r="O101" s="3" t="s">
        <v>62</v>
      </c>
      <c r="P101" s="3">
        <v>29</v>
      </c>
      <c r="Q101" s="3">
        <v>921</v>
      </c>
      <c r="R101" s="3">
        <v>2</v>
      </c>
      <c r="S101" s="3">
        <v>38.072898520000003</v>
      </c>
      <c r="T101" s="3" t="s">
        <v>46</v>
      </c>
      <c r="U101" s="3">
        <v>0.34602729100000001</v>
      </c>
      <c r="V101" s="3" t="s">
        <v>47</v>
      </c>
      <c r="W101" s="3" t="s">
        <v>32</v>
      </c>
      <c r="X101" s="3">
        <v>210.743009</v>
      </c>
      <c r="Y101" s="3">
        <f>supply_chain_data!$F101-supply_chain_data!$X101</f>
        <v>8974.4428200000002</v>
      </c>
      <c r="Z101" s="3" t="str">
        <f>IF(supply_chain_data!$H101&lt;20,"Low Stock","Available")</f>
        <v>Available</v>
      </c>
      <c r="AA101" s="3" t="str">
        <f>IF(supply_chain_data!$K101&gt;7,"Delayed","On Time")</f>
        <v>On Time</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146547-43D8-42E8-8494-F353FBB28C83}">
  <sheetPr codeName="Sheet2"/>
  <dimension ref="A1:F75"/>
  <sheetViews>
    <sheetView topLeftCell="A67" workbookViewId="0">
      <selection activeCell="H88" sqref="H88"/>
    </sheetView>
  </sheetViews>
  <sheetFormatPr defaultRowHeight="14.4" x14ac:dyDescent="0.3"/>
  <cols>
    <col min="1" max="1" width="28.77734375" bestFit="1" customWidth="1"/>
    <col min="2" max="2" width="15.5546875" bestFit="1" customWidth="1"/>
    <col min="3" max="4" width="8.109375" bestFit="1" customWidth="1"/>
    <col min="5" max="5" width="10.77734375" bestFit="1" customWidth="1"/>
    <col min="6" max="6" width="28.77734375" bestFit="1" customWidth="1"/>
    <col min="7" max="7" width="12.109375" bestFit="1" customWidth="1"/>
    <col min="8" max="8" width="33.6640625" bestFit="1" customWidth="1"/>
    <col min="9" max="9" width="16.88671875" bestFit="1" customWidth="1"/>
    <col min="10" max="10" width="10.77734375" bestFit="1" customWidth="1"/>
    <col min="11" max="36" width="12" bestFit="1" customWidth="1"/>
    <col min="37" max="37" width="10" bestFit="1" customWidth="1"/>
    <col min="38" max="38" width="11" bestFit="1" customWidth="1"/>
    <col min="39" max="40" width="12" bestFit="1" customWidth="1"/>
    <col min="41" max="41" width="11" bestFit="1" customWidth="1"/>
    <col min="42" max="51" width="12" bestFit="1" customWidth="1"/>
    <col min="52" max="52" width="11" bestFit="1" customWidth="1"/>
    <col min="53" max="64" width="12" bestFit="1" customWidth="1"/>
    <col min="65" max="65" width="11" bestFit="1" customWidth="1"/>
    <col min="66" max="67" width="12" bestFit="1" customWidth="1"/>
  </cols>
  <sheetData>
    <row r="1" spans="1:3" x14ac:dyDescent="0.3">
      <c r="A1" s="4" t="s">
        <v>157</v>
      </c>
      <c r="B1" t="s">
        <v>159</v>
      </c>
      <c r="C1" t="s">
        <v>160</v>
      </c>
    </row>
    <row r="2" spans="1:3" x14ac:dyDescent="0.3">
      <c r="A2" s="5" t="s">
        <v>57</v>
      </c>
      <c r="B2" s="6">
        <v>148154.86871810001</v>
      </c>
      <c r="C2">
        <v>1525</v>
      </c>
    </row>
    <row r="3" spans="1:3" x14ac:dyDescent="0.3">
      <c r="A3" s="5" t="s">
        <v>24</v>
      </c>
      <c r="B3" s="6">
        <v>157126.52774120003</v>
      </c>
      <c r="C3">
        <v>1644</v>
      </c>
    </row>
    <row r="4" spans="1:3" x14ac:dyDescent="0.3">
      <c r="A4" s="5" t="s">
        <v>33</v>
      </c>
      <c r="B4" s="6">
        <v>219398.84406530004</v>
      </c>
      <c r="C4">
        <v>1608</v>
      </c>
    </row>
    <row r="5" spans="1:3" x14ac:dyDescent="0.3">
      <c r="A5" s="5" t="s">
        <v>158</v>
      </c>
      <c r="B5" s="6">
        <v>524680.24052460014</v>
      </c>
      <c r="C5">
        <v>4777</v>
      </c>
    </row>
    <row r="17" spans="1:4" x14ac:dyDescent="0.3">
      <c r="A17" s="4" t="s">
        <v>162</v>
      </c>
      <c r="B17" s="4" t="s">
        <v>161</v>
      </c>
    </row>
    <row r="18" spans="1:4" x14ac:dyDescent="0.3">
      <c r="A18" s="4" t="s">
        <v>157</v>
      </c>
      <c r="B18" t="s">
        <v>163</v>
      </c>
      <c r="C18" t="s">
        <v>164</v>
      </c>
      <c r="D18" t="s">
        <v>158</v>
      </c>
    </row>
    <row r="19" spans="1:4" x14ac:dyDescent="0.3">
      <c r="A19" s="5" t="s">
        <v>57</v>
      </c>
      <c r="B19">
        <v>9672</v>
      </c>
      <c r="C19">
        <v>2085</v>
      </c>
      <c r="D19">
        <v>11757</v>
      </c>
    </row>
    <row r="20" spans="1:4" x14ac:dyDescent="0.3">
      <c r="A20" s="5" t="s">
        <v>24</v>
      </c>
      <c r="B20">
        <v>10655</v>
      </c>
      <c r="C20">
        <v>2956</v>
      </c>
      <c r="D20">
        <v>13611</v>
      </c>
    </row>
    <row r="21" spans="1:4" x14ac:dyDescent="0.3">
      <c r="A21" s="5" t="s">
        <v>33</v>
      </c>
      <c r="B21">
        <v>13204</v>
      </c>
      <c r="C21">
        <v>7527</v>
      </c>
      <c r="D21">
        <v>20731</v>
      </c>
    </row>
    <row r="22" spans="1:4" x14ac:dyDescent="0.3">
      <c r="A22" s="5" t="s">
        <v>158</v>
      </c>
      <c r="B22">
        <v>33531</v>
      </c>
      <c r="C22">
        <v>12568</v>
      </c>
      <c r="D22">
        <v>46099</v>
      </c>
    </row>
    <row r="35" spans="1:5" x14ac:dyDescent="0.3">
      <c r="A35" s="4" t="s">
        <v>165</v>
      </c>
      <c r="B35" s="4" t="s">
        <v>161</v>
      </c>
    </row>
    <row r="36" spans="1:5" x14ac:dyDescent="0.3">
      <c r="A36" s="4" t="s">
        <v>157</v>
      </c>
      <c r="B36" t="s">
        <v>57</v>
      </c>
      <c r="C36" t="s">
        <v>24</v>
      </c>
      <c r="D36" t="s">
        <v>33</v>
      </c>
      <c r="E36" t="s">
        <v>158</v>
      </c>
    </row>
    <row r="37" spans="1:5" x14ac:dyDescent="0.3">
      <c r="A37" s="5" t="s">
        <v>35</v>
      </c>
      <c r="B37">
        <v>533</v>
      </c>
      <c r="C37">
        <v>23</v>
      </c>
      <c r="D37">
        <v>585</v>
      </c>
      <c r="E37">
        <v>1141</v>
      </c>
    </row>
    <row r="38" spans="1:5" x14ac:dyDescent="0.3">
      <c r="A38" s="5" t="s">
        <v>55</v>
      </c>
      <c r="B38">
        <v>246</v>
      </c>
      <c r="C38">
        <v>333</v>
      </c>
      <c r="D38">
        <v>320</v>
      </c>
      <c r="E38">
        <v>899</v>
      </c>
    </row>
    <row r="39" spans="1:5" x14ac:dyDescent="0.3">
      <c r="A39" s="5" t="s">
        <v>26</v>
      </c>
      <c r="B39">
        <v>318</v>
      </c>
      <c r="C39">
        <v>316</v>
      </c>
      <c r="D39">
        <v>658</v>
      </c>
      <c r="E39">
        <v>1292</v>
      </c>
    </row>
    <row r="40" spans="1:5" x14ac:dyDescent="0.3">
      <c r="A40" s="5" t="s">
        <v>38</v>
      </c>
      <c r="B40">
        <v>246</v>
      </c>
      <c r="C40">
        <v>808</v>
      </c>
      <c r="D40">
        <v>536</v>
      </c>
      <c r="E40">
        <v>1590</v>
      </c>
    </row>
    <row r="41" spans="1:5" x14ac:dyDescent="0.3">
      <c r="A41" s="5" t="s">
        <v>158</v>
      </c>
      <c r="B41">
        <v>1343</v>
      </c>
      <c r="C41">
        <v>1480</v>
      </c>
      <c r="D41">
        <v>2099</v>
      </c>
      <c r="E41">
        <v>4922</v>
      </c>
    </row>
    <row r="53" spans="1:6" x14ac:dyDescent="0.3">
      <c r="A53" s="4" t="s">
        <v>162</v>
      </c>
      <c r="B53" s="4" t="s">
        <v>161</v>
      </c>
    </row>
    <row r="54" spans="1:6" x14ac:dyDescent="0.3">
      <c r="A54" s="4" t="s">
        <v>157</v>
      </c>
      <c r="B54" t="s">
        <v>40</v>
      </c>
      <c r="C54" t="s">
        <v>47</v>
      </c>
      <c r="D54" t="s">
        <v>31</v>
      </c>
      <c r="E54" t="s">
        <v>56</v>
      </c>
      <c r="F54" t="s">
        <v>158</v>
      </c>
    </row>
    <row r="55" spans="1:6" x14ac:dyDescent="0.3">
      <c r="A55" s="5" t="s">
        <v>57</v>
      </c>
      <c r="B55">
        <v>2310</v>
      </c>
      <c r="C55">
        <v>4833</v>
      </c>
      <c r="D55">
        <v>2040</v>
      </c>
      <c r="E55">
        <v>2574</v>
      </c>
      <c r="F55">
        <v>11757</v>
      </c>
    </row>
    <row r="56" spans="1:6" x14ac:dyDescent="0.3">
      <c r="A56" s="5" t="s">
        <v>24</v>
      </c>
      <c r="B56">
        <v>2534</v>
      </c>
      <c r="C56">
        <v>4226</v>
      </c>
      <c r="D56">
        <v>4505</v>
      </c>
      <c r="E56">
        <v>2346</v>
      </c>
      <c r="F56">
        <v>13611</v>
      </c>
    </row>
    <row r="57" spans="1:6" x14ac:dyDescent="0.3">
      <c r="A57" s="5" t="s">
        <v>33</v>
      </c>
      <c r="B57">
        <v>6038</v>
      </c>
      <c r="C57">
        <v>4434</v>
      </c>
      <c r="D57">
        <v>6575</v>
      </c>
      <c r="E57">
        <v>3684</v>
      </c>
      <c r="F57">
        <v>20731</v>
      </c>
    </row>
    <row r="58" spans="1:6" x14ac:dyDescent="0.3">
      <c r="A58" s="5" t="s">
        <v>158</v>
      </c>
      <c r="B58">
        <v>10882</v>
      </c>
      <c r="C58">
        <v>13493</v>
      </c>
      <c r="D58">
        <v>13120</v>
      </c>
      <c r="E58">
        <v>8604</v>
      </c>
      <c r="F58">
        <v>46099</v>
      </c>
    </row>
    <row r="70" spans="1:5" x14ac:dyDescent="0.3">
      <c r="A70" s="4" t="s">
        <v>162</v>
      </c>
      <c r="B70" s="4" t="s">
        <v>161</v>
      </c>
    </row>
    <row r="71" spans="1:5" x14ac:dyDescent="0.3">
      <c r="A71" s="4" t="s">
        <v>157</v>
      </c>
      <c r="B71" t="s">
        <v>36</v>
      </c>
      <c r="C71" t="s">
        <v>27</v>
      </c>
      <c r="D71" t="s">
        <v>43</v>
      </c>
      <c r="E71" t="s">
        <v>158</v>
      </c>
    </row>
    <row r="72" spans="1:5" x14ac:dyDescent="0.3">
      <c r="A72" s="5" t="s">
        <v>57</v>
      </c>
      <c r="B72">
        <v>2876</v>
      </c>
      <c r="C72">
        <v>5551</v>
      </c>
      <c r="D72">
        <v>3330</v>
      </c>
      <c r="E72">
        <v>11757</v>
      </c>
    </row>
    <row r="73" spans="1:5" x14ac:dyDescent="0.3">
      <c r="A73" s="5" t="s">
        <v>24</v>
      </c>
      <c r="B73">
        <v>3979</v>
      </c>
      <c r="C73">
        <v>8401</v>
      </c>
      <c r="D73">
        <v>1231</v>
      </c>
      <c r="E73">
        <v>13611</v>
      </c>
    </row>
    <row r="74" spans="1:5" x14ac:dyDescent="0.3">
      <c r="A74" s="5" t="s">
        <v>33</v>
      </c>
      <c r="B74">
        <v>8226</v>
      </c>
      <c r="C74">
        <v>6937</v>
      </c>
      <c r="D74">
        <v>5568</v>
      </c>
      <c r="E74">
        <v>20731</v>
      </c>
    </row>
    <row r="75" spans="1:5" x14ac:dyDescent="0.3">
      <c r="A75" s="5" t="s">
        <v>158</v>
      </c>
      <c r="B75">
        <v>15081</v>
      </c>
      <c r="C75">
        <v>20889</v>
      </c>
      <c r="D75">
        <v>10129</v>
      </c>
      <c r="E75">
        <v>46099</v>
      </c>
    </row>
  </sheetData>
  <pageMargins left="0.7" right="0.7" top="0.75" bottom="0.75" header="0.3" footer="0.3"/>
  <drawing r:id="rId6"/>
  <extLst>
    <ext xmlns:x14="http://schemas.microsoft.com/office/spreadsheetml/2009/9/main" uri="{A8765BA9-456A-4dab-B4F3-ACF838C121DE}">
      <x14:slicerList>
        <x14:slicer r:id="rId7"/>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A4B20D-DE18-49A9-A603-5EB851FDECB8}">
  <sheetPr codeName="Sheet3"/>
  <dimension ref="A1:T3"/>
  <sheetViews>
    <sheetView showGridLines="0" tabSelected="1" zoomScale="80" workbookViewId="0">
      <selection activeCell="V28" sqref="V28"/>
    </sheetView>
  </sheetViews>
  <sheetFormatPr defaultRowHeight="14.4" x14ac:dyDescent="0.3"/>
  <sheetData>
    <row r="1" spans="1:20" ht="14.4" customHeight="1" x14ac:dyDescent="0.3">
      <c r="A1" s="7" t="s">
        <v>166</v>
      </c>
      <c r="B1" s="7"/>
      <c r="C1" s="7"/>
      <c r="D1" s="7"/>
      <c r="E1" s="7"/>
      <c r="F1" s="7"/>
      <c r="G1" s="7"/>
      <c r="H1" s="7"/>
      <c r="I1" s="7"/>
      <c r="J1" s="7"/>
      <c r="K1" s="7"/>
      <c r="L1" s="7"/>
      <c r="M1" s="7"/>
      <c r="N1" s="7"/>
      <c r="O1" s="7"/>
      <c r="P1" s="7"/>
      <c r="Q1" s="7"/>
      <c r="R1" s="7"/>
      <c r="S1" s="7"/>
      <c r="T1" s="7"/>
    </row>
    <row r="2" spans="1:20" x14ac:dyDescent="0.3">
      <c r="A2" s="7"/>
      <c r="B2" s="7"/>
      <c r="C2" s="7"/>
      <c r="D2" s="7"/>
      <c r="E2" s="7"/>
      <c r="F2" s="7"/>
      <c r="G2" s="7"/>
      <c r="H2" s="7"/>
      <c r="I2" s="7"/>
      <c r="J2" s="7"/>
      <c r="K2" s="7"/>
      <c r="L2" s="7"/>
      <c r="M2" s="7"/>
      <c r="N2" s="7"/>
      <c r="O2" s="7"/>
      <c r="P2" s="7"/>
      <c r="Q2" s="7"/>
      <c r="R2" s="7"/>
      <c r="S2" s="7"/>
      <c r="T2" s="7"/>
    </row>
    <row r="3" spans="1:20" x14ac:dyDescent="0.3">
      <c r="A3" s="7"/>
      <c r="B3" s="7"/>
      <c r="C3" s="7"/>
      <c r="D3" s="7"/>
      <c r="E3" s="7"/>
      <c r="F3" s="7"/>
      <c r="G3" s="7"/>
      <c r="H3" s="7"/>
      <c r="I3" s="7"/>
      <c r="J3" s="7"/>
      <c r="K3" s="7"/>
      <c r="L3" s="7"/>
      <c r="M3" s="7"/>
      <c r="N3" s="7"/>
      <c r="O3" s="7"/>
      <c r="P3" s="7"/>
      <c r="Q3" s="7"/>
      <c r="R3" s="7"/>
      <c r="S3" s="7"/>
      <c r="T3" s="7"/>
    </row>
  </sheetData>
  <mergeCells count="1">
    <mergeCell ref="A1:T3"/>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supply_chain_data</vt:lpstr>
      <vt:lpstr>Pivot</vt:lpstr>
      <vt:lpstr>Sheet2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Kyasani Tarun</dc:creator>
  <cp:lastModifiedBy>Kyasani Tarun</cp:lastModifiedBy>
  <dcterms:created xsi:type="dcterms:W3CDTF">2026-06-18T07:19:08Z</dcterms:created>
  <dcterms:modified xsi:type="dcterms:W3CDTF">2026-06-18T07:21:19Z</dcterms:modified>
</cp:coreProperties>
</file>